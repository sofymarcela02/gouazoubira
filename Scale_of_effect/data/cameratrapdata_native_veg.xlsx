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c5c6db3106a2702/lama/Mestrado/1-ZSL/1-Models/4-Models/3-Models/data/"/>
    </mc:Choice>
  </mc:AlternateContent>
  <xr:revisionPtr revIDLastSave="12" documentId="11_6D187DD48F79A89360642C52EA7BD2729AC27132" xr6:coauthVersionLast="47" xr6:coauthVersionMax="47" xr10:uidLastSave="{9A045636-4024-4912-9743-3E6EC6D814D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2" i="1"/>
</calcChain>
</file>

<file path=xl/sharedStrings.xml><?xml version="1.0" encoding="utf-8"?>
<sst xmlns="http://schemas.openxmlformats.org/spreadsheetml/2006/main" count="1745" uniqueCount="789">
  <si>
    <t>ID</t>
  </si>
  <si>
    <t>camera</t>
  </si>
  <si>
    <t>patrimonio</t>
  </si>
  <si>
    <t>sd</t>
  </si>
  <si>
    <t>data_instalacao</t>
  </si>
  <si>
    <t>hora_instalacao</t>
  </si>
  <si>
    <t>bateria_inicio</t>
  </si>
  <si>
    <t>data_retirada</t>
  </si>
  <si>
    <t>hora_retirada</t>
  </si>
  <si>
    <t>bateria_fim</t>
  </si>
  <si>
    <t>n_fotos</t>
  </si>
  <si>
    <t>vegetacao</t>
  </si>
  <si>
    <t>altura_media_veg</t>
  </si>
  <si>
    <t>lat</t>
  </si>
  <si>
    <t>long</t>
  </si>
  <si>
    <t>observacoes</t>
  </si>
  <si>
    <t>mamiferos</t>
  </si>
  <si>
    <t>Floresta_800</t>
  </si>
  <si>
    <t>Veg_herb_arb_800</t>
  </si>
  <si>
    <t>Floresta_1240</t>
  </si>
  <si>
    <t>Veg_herb_arb_1240</t>
  </si>
  <si>
    <t>Floresta_1680</t>
  </si>
  <si>
    <t>Veg_herb_arb_1680</t>
  </si>
  <si>
    <t>Floresta_2120</t>
  </si>
  <si>
    <t>Veg_herb_arb_2120</t>
  </si>
  <si>
    <t>Floresta_2560</t>
  </si>
  <si>
    <t>Veg_herb_arb_2560</t>
  </si>
  <si>
    <t>Floresta_3000</t>
  </si>
  <si>
    <t>Veg_herb_arb_3000</t>
  </si>
  <si>
    <t>area_mn_800</t>
  </si>
  <si>
    <t>enn_mn_800</t>
  </si>
  <si>
    <t>enn_sd_800</t>
  </si>
  <si>
    <t>enn_cv_800</t>
  </si>
  <si>
    <t>area_mn_1240</t>
  </si>
  <si>
    <t>enn_mn_1240</t>
  </si>
  <si>
    <t>enn_sd_1240</t>
  </si>
  <si>
    <t>enn_cv_1240</t>
  </si>
  <si>
    <t>area_mn_1680</t>
  </si>
  <si>
    <t>enn_mn_1680</t>
  </si>
  <si>
    <t>enn_sd_1680</t>
  </si>
  <si>
    <t>enn_cv_1680</t>
  </si>
  <si>
    <t>area_mn_2120</t>
  </si>
  <si>
    <t>enn_mn_2120</t>
  </si>
  <si>
    <t>enn_sd_2120</t>
  </si>
  <si>
    <t>enn_cv_2120</t>
  </si>
  <si>
    <t>area_mn_2560</t>
  </si>
  <si>
    <t>enn_mn_2560</t>
  </si>
  <si>
    <t>enn_sd_2560</t>
  </si>
  <si>
    <t>enn_cv_2560</t>
  </si>
  <si>
    <t>area_mn_3000</t>
  </si>
  <si>
    <t>enn_mn_3000</t>
  </si>
  <si>
    <t>enn_sd_3000</t>
  </si>
  <si>
    <t>enn_cv_3000</t>
  </si>
  <si>
    <t>ndvi_mean_800</t>
  </si>
  <si>
    <t>sd_ndvi_800</t>
  </si>
  <si>
    <t>ndvi_mean_1240</t>
  </si>
  <si>
    <t>sd_ndvi_1240</t>
  </si>
  <si>
    <t>ndvi_mean_1680</t>
  </si>
  <si>
    <t>sd_ndvi_1680</t>
  </si>
  <si>
    <t>ndvi_mean_2120</t>
  </si>
  <si>
    <t>sd_ndvi_2120</t>
  </si>
  <si>
    <t>ndvi_mean_2560</t>
  </si>
  <si>
    <t>sd_ndvi_2560</t>
  </si>
  <si>
    <t>ndvi_mean_3000</t>
  </si>
  <si>
    <t>sd_ndvi_3000</t>
  </si>
  <si>
    <t>p003</t>
  </si>
  <si>
    <t>C1</t>
  </si>
  <si>
    <t>059.028589</t>
  </si>
  <si>
    <t>7A</t>
  </si>
  <si>
    <t>68</t>
  </si>
  <si>
    <t>app</t>
  </si>
  <si>
    <t>9</t>
  </si>
  <si>
    <t>21.40782</t>
  </si>
  <si>
    <t>048.71703</t>
  </si>
  <si>
    <t>transição de mata mesófila para cerrado / muito cipó / mais mesófila que cerrado / presença de apiário</t>
  </si>
  <si>
    <t>foçados de tatus</t>
  </si>
  <si>
    <t>C2</t>
  </si>
  <si>
    <t>059.028606</t>
  </si>
  <si>
    <t>8A</t>
  </si>
  <si>
    <t>21.40922</t>
  </si>
  <si>
    <t>048.71751</t>
  </si>
  <si>
    <t>muito fechado com cipó / impossível andar /  em regeneracao</t>
  </si>
  <si>
    <t>rastro de Cuniculus paca</t>
  </si>
  <si>
    <t>C3</t>
  </si>
  <si>
    <t>059.028602</t>
  </si>
  <si>
    <t>9A</t>
  </si>
  <si>
    <t>83</t>
  </si>
  <si>
    <t>capoeira</t>
  </si>
  <si>
    <t>6</t>
  </si>
  <si>
    <t>21.40947</t>
  </si>
  <si>
    <t>048.71638</t>
  </si>
  <si>
    <t>árvores distantes / ambiente aberto mais semelhante à estacional semidecidual / mata em regenereção</t>
  </si>
  <si>
    <t>rastro de cachorro</t>
  </si>
  <si>
    <t>p006</t>
  </si>
  <si>
    <t>059028601</t>
  </si>
  <si>
    <t>10B</t>
  </si>
  <si>
    <t>NA</t>
  </si>
  <si>
    <t>decidua</t>
  </si>
  <si>
    <t>19</t>
  </si>
  <si>
    <t>21.08277</t>
  </si>
  <si>
    <t>047.59609</t>
  </si>
  <si>
    <t>alto de morro, muito seco, muita pedra. Caraguatá, caixa de abelha perto</t>
  </si>
  <si>
    <t>059028602</t>
  </si>
  <si>
    <t>2B</t>
  </si>
  <si>
    <t>21.09046</t>
  </si>
  <si>
    <t>047.59980</t>
  </si>
  <si>
    <t>solo úmido com "gengibre"</t>
  </si>
  <si>
    <t>059028587</t>
  </si>
  <si>
    <t>1B</t>
  </si>
  <si>
    <t>21.08933</t>
  </si>
  <si>
    <t>047.60086</t>
  </si>
  <si>
    <t>com muito "gengibre"</t>
  </si>
  <si>
    <t>p009</t>
  </si>
  <si>
    <t>059031067</t>
  </si>
  <si>
    <t>1A</t>
  </si>
  <si>
    <t>85</t>
  </si>
  <si>
    <t>25</t>
  </si>
  <si>
    <t>21.20505</t>
  </si>
  <si>
    <t>048.20357</t>
  </si>
  <si>
    <t>app riparia em regeneracao / antiga plantacao de eucalipto / solo encharcado / nascente proxima</t>
  </si>
  <si>
    <t>059028604</t>
  </si>
  <si>
    <t>3A</t>
  </si>
  <si>
    <t>73</t>
  </si>
  <si>
    <t>20</t>
  </si>
  <si>
    <t>21.20436</t>
  </si>
  <si>
    <t>048.19925</t>
  </si>
  <si>
    <t>app degradada com eucaliptos / riacho perto</t>
  </si>
  <si>
    <t>visualizacao macaco prego / carcaca de porco domestico</t>
  </si>
  <si>
    <t>059028607</t>
  </si>
  <si>
    <t>17A</t>
  </si>
  <si>
    <t>84</t>
  </si>
  <si>
    <t>4</t>
  </si>
  <si>
    <t>21.20538</t>
  </si>
  <si>
    <t>048.19288</t>
  </si>
  <si>
    <t>app riparia degradada / muito bambu / agua nas imediacoes</t>
  </si>
  <si>
    <t>p010</t>
  </si>
  <si>
    <t>059.028592</t>
  </si>
  <si>
    <t>81</t>
  </si>
  <si>
    <t>eucalipto</t>
  </si>
  <si>
    <t>21.60966</t>
  </si>
  <si>
    <t>048.20454</t>
  </si>
  <si>
    <t>formigueiro com sauva no pé da camera / prop. Jaiminho</t>
  </si>
  <si>
    <t>059.031067</t>
  </si>
  <si>
    <t>2A</t>
  </si>
  <si>
    <t>79</t>
  </si>
  <si>
    <t>app/eucalipto</t>
  </si>
  <si>
    <t>14</t>
  </si>
  <si>
    <t>21.59892</t>
  </si>
  <si>
    <t>048.21135</t>
  </si>
  <si>
    <t>059.028599</t>
  </si>
  <si>
    <t>82</t>
  </si>
  <si>
    <t>21.59838</t>
  </si>
  <si>
    <t>048.21051</t>
  </si>
  <si>
    <t>ao lado de plantio de eucalipto / largura do curso d'água = 8m</t>
  </si>
  <si>
    <t>p011</t>
  </si>
  <si>
    <t>059.028608</t>
  </si>
  <si>
    <t>80</t>
  </si>
  <si>
    <t>mesofila</t>
  </si>
  <si>
    <t>7.5</t>
  </si>
  <si>
    <t>20.83016</t>
  </si>
  <si>
    <t>047.53245</t>
  </si>
  <si>
    <t>mata mesofila semidecidual degradada / emergentes 15-20m / dossel descontinuo / muito cipo</t>
  </si>
  <si>
    <t>escarificaçção de sagui</t>
  </si>
  <si>
    <t>059.031068</t>
  </si>
  <si>
    <t>4B</t>
  </si>
  <si>
    <t>63</t>
  </si>
  <si>
    <t>7</t>
  </si>
  <si>
    <t>20.82955</t>
  </si>
  <si>
    <t>047.52499</t>
  </si>
  <si>
    <t>mata ciliar em regeneração / AF ao lado do rio com 8-10m de largura</t>
  </si>
  <si>
    <t>rastro de boi</t>
  </si>
  <si>
    <t>20.83284</t>
  </si>
  <si>
    <t>047.53115</t>
  </si>
  <si>
    <t>emergentes 19m / broto de cafe / dossel descontinuo</t>
  </si>
  <si>
    <t>p013</t>
  </si>
  <si>
    <t>059.028605</t>
  </si>
  <si>
    <t>5A</t>
  </si>
  <si>
    <t>cerradao</t>
  </si>
  <si>
    <t>8</t>
  </si>
  <si>
    <t>20.68538</t>
  </si>
  <si>
    <t>047.18901</t>
  </si>
  <si>
    <t>cerradao topo de morro com caraguatá e boi / emergentes 15m</t>
  </si>
  <si>
    <t>059.028591</t>
  </si>
  <si>
    <t>13A</t>
  </si>
  <si>
    <t>11</t>
  </si>
  <si>
    <t>20.67730</t>
  </si>
  <si>
    <t>047.18070</t>
  </si>
  <si>
    <t>mesofila ao lado de cursa dágua / serrapilheira / degradado / descontinuo / trilha de boi / proximo a residencia</t>
  </si>
  <si>
    <t>10</t>
  </si>
  <si>
    <t>20.67754</t>
  </si>
  <si>
    <t>047.19083</t>
  </si>
  <si>
    <t>mesofila proxima de rio / parte degradada / dossel descontinuo / emergentes 20m /</t>
  </si>
  <si>
    <t>boi / cavalo / cachorro</t>
  </si>
  <si>
    <t>p015</t>
  </si>
  <si>
    <t>059.028604</t>
  </si>
  <si>
    <t>12B</t>
  </si>
  <si>
    <t>20.92410</t>
  </si>
  <si>
    <t>047.48651</t>
  </si>
  <si>
    <t>semidecidua muito degradada / dossel descontinuo</t>
  </si>
  <si>
    <t>toca de tatu</t>
  </si>
  <si>
    <t>059.028590</t>
  </si>
  <si>
    <t>20.92756</t>
  </si>
  <si>
    <t>047.48679</t>
  </si>
  <si>
    <t>app riparia com vegetacao de brejo/varzea / dossel descontinuo</t>
  </si>
  <si>
    <t>059.031069</t>
  </si>
  <si>
    <t>17B</t>
  </si>
  <si>
    <t>87</t>
  </si>
  <si>
    <t>reflorestamento</t>
  </si>
  <si>
    <t>20.92194</t>
  </si>
  <si>
    <t>047.47497</t>
  </si>
  <si>
    <t>reflorestamento app</t>
  </si>
  <si>
    <t>visualização e fezes veado-catingueiro</t>
  </si>
  <si>
    <t>p020</t>
  </si>
  <si>
    <t>69</t>
  </si>
  <si>
    <t>20.82733</t>
  </si>
  <si>
    <t>048.47550</t>
  </si>
  <si>
    <t>mata alagada / solo tipo brejo / em regeneracao</t>
  </si>
  <si>
    <t>cranio e pegadas de porco</t>
  </si>
  <si>
    <t>059.028607</t>
  </si>
  <si>
    <t>89</t>
  </si>
  <si>
    <t>transicao</t>
  </si>
  <si>
    <t>20.82887</t>
  </si>
  <si>
    <t>048.47620</t>
  </si>
  <si>
    <t>transição de mata alagada para cerradao / um pouco  mais seco</t>
  </si>
  <si>
    <t>chafurdado de javali</t>
  </si>
  <si>
    <t>74</t>
  </si>
  <si>
    <t>12</t>
  </si>
  <si>
    <t>20.81842</t>
  </si>
  <si>
    <t>048.48124</t>
  </si>
  <si>
    <t>linhas de plantio</t>
  </si>
  <si>
    <t>p021</t>
  </si>
  <si>
    <t>059028591</t>
  </si>
  <si>
    <t>20.42632</t>
  </si>
  <si>
    <t>048.07698</t>
  </si>
  <si>
    <t>solo escuro e molhado</t>
  </si>
  <si>
    <t>18B</t>
  </si>
  <si>
    <t>20.42219</t>
  </si>
  <si>
    <t>048.08419</t>
  </si>
  <si>
    <t>ao lado de córrego e com várias minas, sensor funcionando lentamente</t>
  </si>
  <si>
    <t>vocalização de sagui e troncos sujos de javali</t>
  </si>
  <si>
    <t>059028590</t>
  </si>
  <si>
    <t>8B</t>
  </si>
  <si>
    <t>57</t>
  </si>
  <si>
    <t>20.42034</t>
  </si>
  <si>
    <t>048.08577</t>
  </si>
  <si>
    <t>próximo córrego</t>
  </si>
  <si>
    <t>p027</t>
  </si>
  <si>
    <t>16B</t>
  </si>
  <si>
    <t>17</t>
  </si>
  <si>
    <t>21.06772</t>
  </si>
  <si>
    <t>048.17506</t>
  </si>
  <si>
    <t>em regeneracao</t>
  </si>
  <si>
    <t>45</t>
  </si>
  <si>
    <t>21.06718</t>
  </si>
  <si>
    <t>048.17568</t>
  </si>
  <si>
    <t>fezes de bugio</t>
  </si>
  <si>
    <t>15B</t>
  </si>
  <si>
    <t>78</t>
  </si>
  <si>
    <t>21.06739</t>
  </si>
  <si>
    <t>048.17810</t>
  </si>
  <si>
    <t>p034</t>
  </si>
  <si>
    <t>64</t>
  </si>
  <si>
    <t>13.5</t>
  </si>
  <si>
    <t>21.52393</t>
  </si>
  <si>
    <t>048.55500</t>
  </si>
  <si>
    <t>degradada / muita liana e dossel descontínuo</t>
  </si>
  <si>
    <t>059.028596</t>
  </si>
  <si>
    <t>12A</t>
  </si>
  <si>
    <t>21.52535</t>
  </si>
  <si>
    <t>048.55531</t>
  </si>
  <si>
    <t>palmito</t>
  </si>
  <si>
    <t>4A</t>
  </si>
  <si>
    <t>56</t>
  </si>
  <si>
    <t>21.52258</t>
  </si>
  <si>
    <t>048.54712</t>
  </si>
  <si>
    <t>degradada / emergentes de 20m / dossel descontínuo / muitas lianas</t>
  </si>
  <si>
    <t>p036</t>
  </si>
  <si>
    <t>059031066</t>
  </si>
  <si>
    <t>3B</t>
  </si>
  <si>
    <t>20.65414</t>
  </si>
  <si>
    <t>048.68321</t>
  </si>
  <si>
    <t>alto de morro, predominio de angicos, dossel descontínuo, marcas de fogo</t>
  </si>
  <si>
    <t>7B</t>
  </si>
  <si>
    <t>20.65731</t>
  </si>
  <si>
    <t>048.68097</t>
  </si>
  <si>
    <t>córrego estreito e muito limpo perto da câmera, com peixinhos, figueira enorme próxima</t>
  </si>
  <si>
    <t>pisados de javali</t>
  </si>
  <si>
    <t>059026608</t>
  </si>
  <si>
    <t>20.65704</t>
  </si>
  <si>
    <t>048.67402</t>
  </si>
  <si>
    <t>ao lado de seringal, peryo de riacho, cortaiuva</t>
  </si>
  <si>
    <t>marca de javali em árvore</t>
  </si>
  <si>
    <t>p040</t>
  </si>
  <si>
    <t>11B</t>
  </si>
  <si>
    <t>21.20556</t>
  </si>
  <si>
    <t>048.41809</t>
  </si>
  <si>
    <t>cerradao / proximo a curso dagua / sub-bosque tipico de areas alagadas</t>
  </si>
  <si>
    <t>6B</t>
  </si>
  <si>
    <t>62</t>
  </si>
  <si>
    <t>15</t>
  </si>
  <si>
    <t>21.20635</t>
  </si>
  <si>
    <t>048.41917</t>
  </si>
  <si>
    <t>cerradao / proximo a curso dagua / dossel descontinuo</t>
  </si>
  <si>
    <t>059.028598</t>
  </si>
  <si>
    <t>5</t>
  </si>
  <si>
    <t>21.20720</t>
  </si>
  <si>
    <t>048.41933</t>
  </si>
  <si>
    <t>borda de reflorestamento em contato com varzea</t>
  </si>
  <si>
    <t>p043</t>
  </si>
  <si>
    <t>059.028600</t>
  </si>
  <si>
    <t>14A</t>
  </si>
  <si>
    <t>20.38545</t>
  </si>
  <si>
    <t>047.32777</t>
  </si>
  <si>
    <t>mata filiforme / alma de gato (passaro)</t>
  </si>
  <si>
    <t>pegada de lebre na retirada da camera</t>
  </si>
  <si>
    <t>15A</t>
  </si>
  <si>
    <t>72</t>
  </si>
  <si>
    <t>20.38112</t>
  </si>
  <si>
    <t>047.32829</t>
  </si>
  <si>
    <t>emergentes 20m</t>
  </si>
  <si>
    <t>cao domestico</t>
  </si>
  <si>
    <t>16A</t>
  </si>
  <si>
    <t>20.38209</t>
  </si>
  <si>
    <t>047.33089</t>
  </si>
  <si>
    <t>p046</t>
  </si>
  <si>
    <t>10A</t>
  </si>
  <si>
    <t>20.16116</t>
  </si>
  <si>
    <t>047.66942</t>
  </si>
  <si>
    <t>mata degradada / dossel descontinuo / emergentes 15m / figueira</t>
  </si>
  <si>
    <t>vocalização de callithrix_sp / pegada de tamandua-bandeira e tatu-galinha na estrada na retirada</t>
  </si>
  <si>
    <t>059.031066</t>
  </si>
  <si>
    <t>22.5</t>
  </si>
  <si>
    <t>20.15295</t>
  </si>
  <si>
    <t>047.66474</t>
  </si>
  <si>
    <t>dossel descontinuo / acesso por capim alto</t>
  </si>
  <si>
    <t>11A</t>
  </si>
  <si>
    <t>20.15926</t>
  </si>
  <si>
    <t>047.66246</t>
  </si>
  <si>
    <t>sem subbosque / emergentes 20-25m</t>
  </si>
  <si>
    <t>p048</t>
  </si>
  <si>
    <t>20.58323</t>
  </si>
  <si>
    <t>048.68960</t>
  </si>
  <si>
    <t>mata muito degradada, com capim exótico, emergentes 20 mas sem dossel, sensor funciuonanendo lentamente</t>
  </si>
  <si>
    <t>059031069</t>
  </si>
  <si>
    <t>20.57966</t>
  </si>
  <si>
    <t>048.67546</t>
  </si>
  <si>
    <t>sem dossel, parece um reflorestamento com muito capim exótico, sensor funcionando lentamente, próximo várzea</t>
  </si>
  <si>
    <t>tocas velhas</t>
  </si>
  <si>
    <t>059031068</t>
  </si>
  <si>
    <t>20.58275</t>
  </si>
  <si>
    <t>048.67747</t>
  </si>
  <si>
    <t>sem dossel, reflorestamento, muito degradada. Jamelão ao lado da camera, emergentes 20, mas sem dossel</t>
  </si>
  <si>
    <t>p059</t>
  </si>
  <si>
    <t>76</t>
  </si>
  <si>
    <t>21.27328</t>
  </si>
  <si>
    <t>047.90051</t>
  </si>
  <si>
    <t>presença de figueiras e mangueiras (20m) / sub-bosque (12-15m) / beira de rio</t>
  </si>
  <si>
    <t>visualização de uma fêmea de Allouata caraya</t>
  </si>
  <si>
    <t>75</t>
  </si>
  <si>
    <t>16</t>
  </si>
  <si>
    <t>21.27214</t>
  </si>
  <si>
    <t>047.88990</t>
  </si>
  <si>
    <t>muito capim / ao lado de curso d'água / cana na borda em processo de corte / maquinário retirando a cana / degradada</t>
  </si>
  <si>
    <t>059.028587</t>
  </si>
  <si>
    <t>70</t>
  </si>
  <si>
    <t>21.27410</t>
  </si>
  <si>
    <t>047.90031</t>
  </si>
  <si>
    <t>próximo de curso d'água / borda com cana de 3m / em regeneração</t>
  </si>
  <si>
    <t>p064</t>
  </si>
  <si>
    <t>21.37341</t>
  </si>
  <si>
    <t>047.65090</t>
  </si>
  <si>
    <t>ponto próximo da água / muitas samanbaias /  em regeneracao</t>
  </si>
  <si>
    <t>21.37523</t>
  </si>
  <si>
    <t>047.65417</t>
  </si>
  <si>
    <t>ambiente aberto / altura da vegetação: 4m com árvores emergentes de 15m /  em regeneracao</t>
  </si>
  <si>
    <t>2 foçados de tatus</t>
  </si>
  <si>
    <t>059.028601</t>
  </si>
  <si>
    <t>18A</t>
  </si>
  <si>
    <t>21.37826</t>
  </si>
  <si>
    <t>047.65888</t>
  </si>
  <si>
    <t>vestígios de caça nos arredores (foto do Adriano) / carcaça de Javaporco / menos aberto que C2 /  em regeneracao</t>
  </si>
  <si>
    <t>barreiro de porco</t>
  </si>
  <si>
    <t>p065</t>
  </si>
  <si>
    <t>71</t>
  </si>
  <si>
    <t>20.81083</t>
  </si>
  <si>
    <t>047.84102</t>
  </si>
  <si>
    <t>curso dágua limpo / emergentes de 20m / riparia decídua</t>
  </si>
  <si>
    <t>pegada de cutia e boi</t>
  </si>
  <si>
    <t>20.81195</t>
  </si>
  <si>
    <t>047.83936</t>
  </si>
  <si>
    <t>riparia decidua beira de agua / emergentes de 20m</t>
  </si>
  <si>
    <t>20.80996</t>
  </si>
  <si>
    <t>047.84095</t>
  </si>
  <si>
    <t>mata decidua proximo a curso dágua / demorou para ligar o walktest</t>
  </si>
  <si>
    <t>visualização de callithrix penicillata?</t>
  </si>
  <si>
    <t>p070</t>
  </si>
  <si>
    <t>77</t>
  </si>
  <si>
    <t>20.50522</t>
  </si>
  <si>
    <t>047.59155</t>
  </si>
  <si>
    <t>cerradao preservado / formigas nos galhos e arvores</t>
  </si>
  <si>
    <t>20.51409</t>
  </si>
  <si>
    <t>047.58578</t>
  </si>
  <si>
    <t>mata semidecidual já perdendo algumas folhas / solo vermelho com muita rocha / perto da agua / formigueiro perto da AF</t>
  </si>
  <si>
    <t>20.50430</t>
  </si>
  <si>
    <t>047.58618</t>
  </si>
  <si>
    <t>app em regeneração com capim exotico / jambolões plantados / barragens de agua abandonada / proximo da agua</t>
  </si>
  <si>
    <t>fossado de tatu</t>
  </si>
  <si>
    <t>p074</t>
  </si>
  <si>
    <t>59</t>
  </si>
  <si>
    <t>20.69627</t>
  </si>
  <si>
    <t>047.94495</t>
  </si>
  <si>
    <t>muita liana / goiabeiras / dossel bem aberto</t>
  </si>
  <si>
    <t>20.69485</t>
  </si>
  <si>
    <t>047.93403</t>
  </si>
  <si>
    <t>muita liana / mata degradada</t>
  </si>
  <si>
    <t>9B</t>
  </si>
  <si>
    <t>20.69456</t>
  </si>
  <si>
    <t>047.93093</t>
  </si>
  <si>
    <t>transicao mesofila-cerradao / pouca liana/ com vegetacao arbustiva</t>
  </si>
  <si>
    <t>p075</t>
  </si>
  <si>
    <t>5B</t>
  </si>
  <si>
    <t>20.70702</t>
  </si>
  <si>
    <t>047.63290</t>
  </si>
  <si>
    <t>mata riparia / dossel descontinuo / muita goiabeira / trilhas de gado</t>
  </si>
  <si>
    <t>gado</t>
  </si>
  <si>
    <t>mata</t>
  </si>
  <si>
    <t>20.70213</t>
  </si>
  <si>
    <t>047.62747</t>
  </si>
  <si>
    <t>area em regeneracao</t>
  </si>
  <si>
    <t>20.70543</t>
  </si>
  <si>
    <t>047.62518</t>
  </si>
  <si>
    <t>area riparia em regeneracao / dossel descontinuo / voltada para a estrada</t>
  </si>
  <si>
    <t>p079</t>
  </si>
  <si>
    <t>20.85230</t>
  </si>
  <si>
    <t>048.57479</t>
  </si>
  <si>
    <t>cerradao transicao mesofila</t>
  </si>
  <si>
    <t>20.84957</t>
  </si>
  <si>
    <t>048.57708</t>
  </si>
  <si>
    <t>cerradao transicao mesofila / emergentes 12-15m / presença de samambaias</t>
  </si>
  <si>
    <t>javaporco</t>
  </si>
  <si>
    <t>20.84938</t>
  </si>
  <si>
    <t>048.57917</t>
  </si>
  <si>
    <t>samambaias / solo úmido</t>
  </si>
  <si>
    <t>p081</t>
  </si>
  <si>
    <t>21.35778</t>
  </si>
  <si>
    <t>047.55171</t>
  </si>
  <si>
    <t>sub-bosque fechado / declividade -11° / em regeneracao</t>
  </si>
  <si>
    <t>14B</t>
  </si>
  <si>
    <t>21.35414</t>
  </si>
  <si>
    <t>047.54936</t>
  </si>
  <si>
    <t>21.35239</t>
  </si>
  <si>
    <t>047.54743</t>
  </si>
  <si>
    <t>p085</t>
  </si>
  <si>
    <t>6A</t>
  </si>
  <si>
    <t>65</t>
  </si>
  <si>
    <t>20.71596</t>
  </si>
  <si>
    <t>047.43686</t>
  </si>
  <si>
    <t>mata ripária (mais para mata atlêntica) / samambaia / canela subbosque / serrapilheira úmida</t>
  </si>
  <si>
    <t>20.71336</t>
  </si>
  <si>
    <t>047.43736</t>
  </si>
  <si>
    <t>mata ripária / muita agua / toca de tatu em frente</t>
  </si>
  <si>
    <t>20.71190</t>
  </si>
  <si>
    <t>047.43579</t>
  </si>
  <si>
    <t>mata mesofila / dossel descontinuo / sem foto da camera</t>
  </si>
  <si>
    <t>p090</t>
  </si>
  <si>
    <t>19A</t>
  </si>
  <si>
    <t>20.66672</t>
  </si>
  <si>
    <t>047.11433</t>
  </si>
  <si>
    <t>mesofila semidecidua degradada / emergentes 25m / água próxima / area de pasto com muito gado</t>
  </si>
  <si>
    <t>20.66265</t>
  </si>
  <si>
    <t>047.11563</t>
  </si>
  <si>
    <t>mesofila degradada com muita liana na borda / emergentes 25-30m / area cercada / ponto no topo de vertente / GPS nil</t>
  </si>
  <si>
    <t>20.67400</t>
  </si>
  <si>
    <t>047.11994</t>
  </si>
  <si>
    <t>mesofila / dossel descontinuo / grande figueira / proxima a agua / dentro de erosão</t>
  </si>
  <si>
    <t>p094</t>
  </si>
  <si>
    <t>20.73936</t>
  </si>
  <si>
    <t>047.33524</t>
  </si>
  <si>
    <t>mesofila de galeria/ perto de riacho</t>
  </si>
  <si>
    <t>20.74042</t>
  </si>
  <si>
    <t>047.34075</t>
  </si>
  <si>
    <t>cerradao preservado / perto de riacho pequeno / o lado de eucalipto</t>
  </si>
  <si>
    <t>20.74355</t>
  </si>
  <si>
    <t>047.33417</t>
  </si>
  <si>
    <t>p096</t>
  </si>
  <si>
    <t>21.43966</t>
  </si>
  <si>
    <t>048.13380</t>
  </si>
  <si>
    <t>emergentes de 15m</t>
  </si>
  <si>
    <t>vocalização de callithrix_sp</t>
  </si>
  <si>
    <t>21.43584</t>
  </si>
  <si>
    <t>048.13262</t>
  </si>
  <si>
    <t>mata alagada com brejo / samambaias / emergentes de 15m / pomar com goiabeiras, pitanga mamão / em regeneracao</t>
  </si>
  <si>
    <t>21.42928</t>
  </si>
  <si>
    <t>048.13752</t>
  </si>
  <si>
    <t>com caraguatá e samambaia / emergentes de 15m</t>
  </si>
  <si>
    <t>p099</t>
  </si>
  <si>
    <t>66</t>
  </si>
  <si>
    <t>21.46233</t>
  </si>
  <si>
    <t>048.66568</t>
  </si>
  <si>
    <t>transicao mesofila-cerradao / emergentes 20m</t>
  </si>
  <si>
    <t>21.45281</t>
  </si>
  <si>
    <t>048.66575</t>
  </si>
  <si>
    <t>p100</t>
  </si>
  <si>
    <t>21.32512</t>
  </si>
  <si>
    <t>047.93902</t>
  </si>
  <si>
    <t>app muito degradada / muito cipó e liana / próximo a curso d'água</t>
  </si>
  <si>
    <t>88</t>
  </si>
  <si>
    <t>21.33187</t>
  </si>
  <si>
    <t>047.94440</t>
  </si>
  <si>
    <t>app em regeneração</t>
  </si>
  <si>
    <t>mata degradada</t>
  </si>
  <si>
    <t>21.33379</t>
  </si>
  <si>
    <t>047.94391</t>
  </si>
  <si>
    <t>muito degradada / muito cipó e liana / presença de angicos / no meio da cana</t>
  </si>
  <si>
    <t>vocalização e visualização de Callithrix penicillata</t>
  </si>
  <si>
    <t>p103</t>
  </si>
  <si>
    <t>21.63430</t>
  </si>
  <si>
    <t>047.67762</t>
  </si>
  <si>
    <t>cerradao / riacho com agua transparente e areia no fundo</t>
  </si>
  <si>
    <t>javali ou cateto?</t>
  </si>
  <si>
    <t>21.62771</t>
  </si>
  <si>
    <t>047.67603</t>
  </si>
  <si>
    <t>transicao para varzea / area aberta ao lado da camera</t>
  </si>
  <si>
    <t>javali</t>
  </si>
  <si>
    <t>21.62621</t>
  </si>
  <si>
    <t>047.67754</t>
  </si>
  <si>
    <t>solo preto e úmido / ao lado de um cerrado campo sujo</t>
  </si>
  <si>
    <t>tatu-galinha predado</t>
  </si>
  <si>
    <t>p104</t>
  </si>
  <si>
    <t>17.5</t>
  </si>
  <si>
    <t>20.61386</t>
  </si>
  <si>
    <t>047.12337</t>
  </si>
  <si>
    <t>dossel descontinuo e bem conservada / pionus voando ao lado da AF</t>
  </si>
  <si>
    <t>20.61452</t>
  </si>
  <si>
    <t>047.11937</t>
  </si>
  <si>
    <t>dossel continuo e bem conservada / emergentes 25-30m</t>
  </si>
  <si>
    <t>20.61140</t>
  </si>
  <si>
    <t>047.12542</t>
  </si>
  <si>
    <t>super figueira ao lado da AF / declividade / preservada</t>
  </si>
  <si>
    <t>p108</t>
  </si>
  <si>
    <t>059028606</t>
  </si>
  <si>
    <t>21.91124</t>
  </si>
  <si>
    <t>048.26903</t>
  </si>
  <si>
    <t>muito angico, em uma encosta com solo aflorado</t>
  </si>
  <si>
    <t>059028598</t>
  </si>
  <si>
    <t>21.90940</t>
  </si>
  <si>
    <t>048.25984</t>
  </si>
  <si>
    <t>parece transição cerradão (caraguatá) e mesófila, perto varzea, caixa de abelha abandonada perto</t>
  </si>
  <si>
    <t>059028596</t>
  </si>
  <si>
    <t>21.90670</t>
  </si>
  <si>
    <t>048.25770</t>
  </si>
  <si>
    <t>transição mesófila/cerradão, emergentes 20m, muita trilha erodida de moto e bicicleta (foto)</t>
  </si>
  <si>
    <t>p111</t>
  </si>
  <si>
    <t>21.18493</t>
  </si>
  <si>
    <t>047.14350</t>
  </si>
  <si>
    <t>solo arenoso e claro</t>
  </si>
  <si>
    <t>21.17176</t>
  </si>
  <si>
    <t>047.14494</t>
  </si>
  <si>
    <t>prox de curso dagua</t>
  </si>
  <si>
    <t>3 arranhoes pouco profundos</t>
  </si>
  <si>
    <t>21.17492</t>
  </si>
  <si>
    <t>047.14362</t>
  </si>
  <si>
    <t>emergentes 25m / solo preto, molhado / app riparia</t>
  </si>
  <si>
    <t>p114</t>
  </si>
  <si>
    <t>41</t>
  </si>
  <si>
    <t>21.57918</t>
  </si>
  <si>
    <t>048.53656</t>
  </si>
  <si>
    <t>app ripária / mata atlantica / curso dagua de 1m</t>
  </si>
  <si>
    <t>21.58085</t>
  </si>
  <si>
    <t>048.52797</t>
  </si>
  <si>
    <t>dossel descontinuo / presença de figueiras / solo seco / palmeiras adultas</t>
  </si>
  <si>
    <t>21.59019</t>
  </si>
  <si>
    <t>048.53534</t>
  </si>
  <si>
    <t>dossel descontinuo / pouco sub-bosque / muita liana / bem degradada</t>
  </si>
  <si>
    <t>p116</t>
  </si>
  <si>
    <t>21.89758</t>
  </si>
  <si>
    <t>048.70324</t>
  </si>
  <si>
    <t>mata muito seca / lianas / dossel descontinuo / muitos espinhso / cactos (fotos)</t>
  </si>
  <si>
    <t>fezes de tamandua-bandeira / fossado de tatu</t>
  </si>
  <si>
    <t>21.90063</t>
  </si>
  <si>
    <t>048.69951</t>
  </si>
  <si>
    <t>emergente 35m / dossel descontinuo / caraguatá e "queijo"</t>
  </si>
  <si>
    <t>21.90405</t>
  </si>
  <si>
    <t>048.69722</t>
  </si>
  <si>
    <t>mata mesofila umida (fotos) / samambaias / palmeiras / emergentes 25-30 / solo úmido preto</t>
  </si>
  <si>
    <t>p118</t>
  </si>
  <si>
    <t>21.77107</t>
  </si>
  <si>
    <t>047.77124</t>
  </si>
  <si>
    <t>cerradao transicao para area alagada / trilha humana / retirada com chuva</t>
  </si>
  <si>
    <t>21.77228</t>
  </si>
  <si>
    <t>047.76958</t>
  </si>
  <si>
    <t>cerradao /area alagada / solo escuro / retirada com chuva</t>
  </si>
  <si>
    <t>21.77253</t>
  </si>
  <si>
    <t>047.77385</t>
  </si>
  <si>
    <t>cerradao / area alagada / grande quantidade de palmito</t>
  </si>
  <si>
    <t>p126</t>
  </si>
  <si>
    <t>21.48187</t>
  </si>
  <si>
    <t>048.10124</t>
  </si>
  <si>
    <t>muita liana / inclinado -14°/ emergentes 30m</t>
  </si>
  <si>
    <t>30</t>
  </si>
  <si>
    <t>21.48002</t>
  </si>
  <si>
    <t>048.10130</t>
  </si>
  <si>
    <t>muita liana / semidecidual</t>
  </si>
  <si>
    <t>21.48667</t>
  </si>
  <si>
    <t>048.10334</t>
  </si>
  <si>
    <t>muita liana / transição para hidrófila / solo encharcado</t>
  </si>
  <si>
    <t>p127</t>
  </si>
  <si>
    <t>20.31382</t>
  </si>
  <si>
    <t>047.36857</t>
  </si>
  <si>
    <t>muito cipo / morro</t>
  </si>
  <si>
    <t>20.31250</t>
  </si>
  <si>
    <t>047.37632</t>
  </si>
  <si>
    <t>transicao app riparia e brejo/varzea / emergentes 15m / muita vegetacao de varzea</t>
  </si>
  <si>
    <t>20.31289</t>
  </si>
  <si>
    <t>047.37129</t>
  </si>
  <si>
    <t>dossel descontinuo / declividade alta / emergentes 20m</t>
  </si>
  <si>
    <t>p128</t>
  </si>
  <si>
    <t>13</t>
  </si>
  <si>
    <t>20.77699</t>
  </si>
  <si>
    <t>047.28204</t>
  </si>
  <si>
    <t>cerradao transicao cerrado senso estrito</t>
  </si>
  <si>
    <t>nene gorila (amigo cao)</t>
  </si>
  <si>
    <t>20.77862</t>
  </si>
  <si>
    <t>047.28584</t>
  </si>
  <si>
    <t>cerradao / foto da camera - Rodolpho</t>
  </si>
  <si>
    <t>20.77478</t>
  </si>
  <si>
    <t>047.28178</t>
  </si>
  <si>
    <t>cerradao com eucalipto / 12-15m eucalipto / ponto na borda a 10 m do eucalipto</t>
  </si>
  <si>
    <t>p130</t>
  </si>
  <si>
    <t>21.08516</t>
  </si>
  <si>
    <t>047.34714</t>
  </si>
  <si>
    <t>mata riparia tipica de cerrado / ao lado de um riacho / muita samambaia e aracea / solo turfoso</t>
  </si>
  <si>
    <t>arranhao de um mustelideo</t>
  </si>
  <si>
    <t>cerrado</t>
  </si>
  <si>
    <t>6.5</t>
  </si>
  <si>
    <t>21.08566</t>
  </si>
  <si>
    <t>047.35125</t>
  </si>
  <si>
    <t>cerrado senso estrito / area bem aberta proximo ao eucalipto</t>
  </si>
  <si>
    <t>21.08210</t>
  </si>
  <si>
    <t>047.33976</t>
  </si>
  <si>
    <t>emergentes 10-12m</t>
  </si>
  <si>
    <t>fossado de tatu e javaporco</t>
  </si>
  <si>
    <t>p131</t>
  </si>
  <si>
    <t>21.18563</t>
  </si>
  <si>
    <t>047.22568</t>
  </si>
  <si>
    <t>solo com muitas rochas</t>
  </si>
  <si>
    <t>boi / cachorro</t>
  </si>
  <si>
    <t>21.18308</t>
  </si>
  <si>
    <t>047.22032</t>
  </si>
  <si>
    <t>app riparia / mesofila / borda de pasto</t>
  </si>
  <si>
    <t>muita trilha de boi e cachorro</t>
  </si>
  <si>
    <t>21.18674</t>
  </si>
  <si>
    <t>047.22086</t>
  </si>
  <si>
    <t>app mesofila com samambaias e quaresmeiras / emergentes 15m / perto de cachoeirinha</t>
  </si>
  <si>
    <t>p134</t>
  </si>
  <si>
    <t>21.81125</t>
  </si>
  <si>
    <t>047.80626</t>
  </si>
  <si>
    <t>prox. Brejo / emergentes 10m / atividade humana prox ao rio</t>
  </si>
  <si>
    <t>javali e capivara</t>
  </si>
  <si>
    <t>21.80482</t>
  </si>
  <si>
    <t>047.81006</t>
  </si>
  <si>
    <t>app riparia / brejo / muito degradada / emergentes 20m / dossel descontinuo</t>
  </si>
  <si>
    <t>boi / javali / macaco prego</t>
  </si>
  <si>
    <t>86</t>
  </si>
  <si>
    <t>21.81042</t>
  </si>
  <si>
    <t>047.81864</t>
  </si>
  <si>
    <t>degradada / dossel descontinuo / muito cipo</t>
  </si>
  <si>
    <t>p135</t>
  </si>
  <si>
    <t>21.21037</t>
  </si>
  <si>
    <t>047.06550</t>
  </si>
  <si>
    <t>21.20584</t>
  </si>
  <si>
    <t>047.07113</t>
  </si>
  <si>
    <t>mesofila preservada proximo a curso d'água / samambaias</t>
  </si>
  <si>
    <t>21.21492</t>
  </si>
  <si>
    <t>047.06573</t>
  </si>
  <si>
    <t>p136</t>
  </si>
  <si>
    <t>20.84671</t>
  </si>
  <si>
    <t>048.23987</t>
  </si>
  <si>
    <t>mata mesofila semidecidual</t>
  </si>
  <si>
    <t>buraco de tatu</t>
  </si>
  <si>
    <t>20.85453</t>
  </si>
  <si>
    <t>048.23178</t>
  </si>
  <si>
    <t>muita serrapilheira / presença de "queijo"</t>
  </si>
  <si>
    <t>20.58004</t>
  </si>
  <si>
    <t>048.22602</t>
  </si>
  <si>
    <t>reflorestamento de 10 anos / prox. Da varzea</t>
  </si>
  <si>
    <t>p137</t>
  </si>
  <si>
    <t>20.95741</t>
  </si>
  <si>
    <t>047.16829</t>
  </si>
  <si>
    <t>mata mesofila com dossel descontinuo</t>
  </si>
  <si>
    <t>20.95721</t>
  </si>
  <si>
    <t>047.17116</t>
  </si>
  <si>
    <t>20.96148</t>
  </si>
  <si>
    <t>047.17348</t>
  </si>
  <si>
    <t>p138</t>
  </si>
  <si>
    <t>21.54643</t>
  </si>
  <si>
    <t>047.79984</t>
  </si>
  <si>
    <t>mesofila transicao decidua / emergentes 20-25m / dossel descontinuo degradado</t>
  </si>
  <si>
    <t>21.54798</t>
  </si>
  <si>
    <t>047.79156</t>
  </si>
  <si>
    <t>cerradao transicao mesofila / emergentes 20m / muito cipo / dossel descontinuo / caraguata</t>
  </si>
  <si>
    <t>21.54860</t>
  </si>
  <si>
    <t>047.79064</t>
  </si>
  <si>
    <t>cerradao transicao mesofila / um pouco mais fechado / cipo / area aberta</t>
  </si>
  <si>
    <t>p140</t>
  </si>
  <si>
    <t>0</t>
  </si>
  <si>
    <t>21.71858</t>
  </si>
  <si>
    <t>047.74282</t>
  </si>
  <si>
    <t>mata mesófila com acentuada declividade / emergentes de 25m / dossel descontinuo / borda com lianas</t>
  </si>
  <si>
    <t>21.71497</t>
  </si>
  <si>
    <t>047.74506</t>
  </si>
  <si>
    <t>mata mesófila (borda) com dossel descontinuo / emergentes 30m</t>
  </si>
  <si>
    <t>fezes de mazama</t>
  </si>
  <si>
    <t>21.71452</t>
  </si>
  <si>
    <t>047.74655</t>
  </si>
  <si>
    <t>mata mesófila com dossel descontinuo / emergentes 40m / ARVORE CAIU com a camera</t>
  </si>
  <si>
    <t>p142</t>
  </si>
  <si>
    <t>22.01859</t>
  </si>
  <si>
    <t>048.06312</t>
  </si>
  <si>
    <t>cerradao com goiabeiras e limão</t>
  </si>
  <si>
    <t>22.01304</t>
  </si>
  <si>
    <t>048.05836</t>
  </si>
  <si>
    <t>mesofila degradada / muita liana / dossel descontinuo</t>
  </si>
  <si>
    <t>22.01481</t>
  </si>
  <si>
    <t>048.06126</t>
  </si>
  <si>
    <t>cerradao degradado cheio de goiabeiras</t>
  </si>
  <si>
    <t>p145</t>
  </si>
  <si>
    <t>047.36430</t>
  </si>
  <si>
    <t>transicao cerradao para cerrado senso estrito / proximo a estrada de terra +- 15m</t>
  </si>
  <si>
    <t>20.80470</t>
  </si>
  <si>
    <t>047.36588</t>
  </si>
  <si>
    <t>transicao cerradao para cerrado senso estrito / borda de floresta com eucalipto +- 5m</t>
  </si>
  <si>
    <t>20.80287</t>
  </si>
  <si>
    <t>047.35813</t>
  </si>
  <si>
    <t>p146</t>
  </si>
  <si>
    <t>20.15082</t>
  </si>
  <si>
    <t>047.59838</t>
  </si>
  <si>
    <t>dossel descontinuo</t>
  </si>
  <si>
    <t>pegada de irara e jaritataca na estrada na retirada</t>
  </si>
  <si>
    <t>18</t>
  </si>
  <si>
    <t>20.14971</t>
  </si>
  <si>
    <t>047.59476</t>
  </si>
  <si>
    <t>20.15366</t>
  </si>
  <si>
    <t>047.59628</t>
  </si>
  <si>
    <t>camera amostrando riacho / dossel descontinuo</t>
  </si>
  <si>
    <t>pegada de irara, jaritataca e tamandua(confirmar) na retirada</t>
  </si>
  <si>
    <t>p147</t>
  </si>
  <si>
    <t>21.58969</t>
  </si>
  <si>
    <t>047.83738</t>
  </si>
  <si>
    <t>emergentes 25m</t>
  </si>
  <si>
    <t>tinamideo próximo</t>
  </si>
  <si>
    <t>p148</t>
  </si>
  <si>
    <t>8.5</t>
  </si>
  <si>
    <t>20.98403</t>
  </si>
  <si>
    <t>047.31364</t>
  </si>
  <si>
    <t>serrapilheira</t>
  </si>
  <si>
    <t>20.98593</t>
  </si>
  <si>
    <t>047.31920</t>
  </si>
  <si>
    <t>samambaias / direcionada para um riacho encaixado em pequeno vale</t>
  </si>
  <si>
    <t>arranhado de tamandua - foto</t>
  </si>
  <si>
    <t>4.5</t>
  </si>
  <si>
    <t>20.98068</t>
  </si>
  <si>
    <t>047.31332</t>
  </si>
  <si>
    <t>cerrado senso estrito / emergentes 8m / ao lado de estrada de terra / aceiro eucalipto</t>
  </si>
  <si>
    <t>p150</t>
  </si>
  <si>
    <t>21.60523</t>
  </si>
  <si>
    <t>047.75979</t>
  </si>
  <si>
    <t>vocalizacao saua</t>
  </si>
  <si>
    <t>21.60778</t>
  </si>
  <si>
    <t>047.76322</t>
  </si>
  <si>
    <t>cerrado senso estrito com capim exotico / dossel descontinuo</t>
  </si>
  <si>
    <t>pegada mazama e javaporco</t>
  </si>
  <si>
    <t>21.61075</t>
  </si>
  <si>
    <t>047.75850</t>
  </si>
  <si>
    <t>p151</t>
  </si>
  <si>
    <t>21.30895</t>
  </si>
  <si>
    <t>048.45399</t>
  </si>
  <si>
    <t>mata riparia secundaria / proximo do encontro do efluente da ETE</t>
  </si>
  <si>
    <t>21.31079</t>
  </si>
  <si>
    <t>048.44954</t>
  </si>
  <si>
    <t>eucalipto abandonado com cerradao regenerante / dossel descontinuo / prox. Area aberta com capim exótico</t>
  </si>
  <si>
    <t>21.31003</t>
  </si>
  <si>
    <t>048.45187</t>
  </si>
  <si>
    <t>native_800</t>
  </si>
  <si>
    <t>native_1240</t>
  </si>
  <si>
    <t>native_1680</t>
  </si>
  <si>
    <t>native_2120</t>
  </si>
  <si>
    <t>native_2560</t>
  </si>
  <si>
    <t>native_3000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</si>
</sst>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63"/>
  <sheetViews>
    <sheetView tabSelected="1" workbookViewId="0">
      <pane xSplit="1" topLeftCell="BJ1" activePane="topRight" state="frozen"/>
      <selection pane="topRight" activeCell="CE1" sqref="CE1"/>
    </sheetView>
  </sheetViews>
  <sheetFormatPr defaultRowHeight="14.4" x14ac:dyDescent="0.3"/>
  <cols>
    <col min="5" max="5" width="27.21875" style="2" customWidth="1"/>
    <col min="6" max="6" width="22.5546875" style="2" customWidth="1"/>
    <col min="8" max="8" width="24" style="2" customWidth="1"/>
    <col min="9" max="9" width="25.33203125" style="2" customWidth="1"/>
    <col min="18" max="19" width="0" hidden="1" customWidth="1"/>
    <col min="20" max="20" width="8.88671875" style="6"/>
    <col min="21" max="22" width="0" style="6" hidden="1" customWidth="1"/>
    <col min="23" max="23" width="8.88671875" style="6"/>
    <col min="24" max="25" width="0" style="6" hidden="1" customWidth="1"/>
    <col min="26" max="26" width="8.88671875" style="6"/>
    <col min="27" max="28" width="0" style="6" hidden="1" customWidth="1"/>
    <col min="29" max="29" width="8.88671875" style="6"/>
    <col min="30" max="31" width="0" style="6" hidden="1" customWidth="1"/>
    <col min="32" max="32" width="8.88671875" style="6"/>
    <col min="33" max="34" width="0" style="6" hidden="1" customWidth="1"/>
    <col min="35" max="35" width="8.88671875" style="6"/>
    <col min="37" max="37" width="8.88671875" style="3"/>
  </cols>
  <sheetData>
    <row r="1" spans="1:7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783</v>
      </c>
      <c r="U1" s="5" t="s">
        <v>19</v>
      </c>
      <c r="V1" s="5" t="s">
        <v>20</v>
      </c>
      <c r="W1" s="5" t="s">
        <v>784</v>
      </c>
      <c r="X1" s="5" t="s">
        <v>21</v>
      </c>
      <c r="Y1" s="5" t="s">
        <v>22</v>
      </c>
      <c r="Z1" s="5" t="s">
        <v>785</v>
      </c>
      <c r="AA1" s="5" t="s">
        <v>23</v>
      </c>
      <c r="AB1" s="5" t="s">
        <v>24</v>
      </c>
      <c r="AC1" s="5" t="s">
        <v>786</v>
      </c>
      <c r="AD1" s="5" t="s">
        <v>25</v>
      </c>
      <c r="AE1" s="5" t="s">
        <v>26</v>
      </c>
      <c r="AF1" s="5" t="s">
        <v>787</v>
      </c>
      <c r="AG1" s="5" t="s">
        <v>27</v>
      </c>
      <c r="AH1" s="5" t="s">
        <v>28</v>
      </c>
      <c r="AI1" s="5" t="s">
        <v>788</v>
      </c>
      <c r="AJ1" s="1" t="s">
        <v>29</v>
      </c>
      <c r="AK1" s="7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</row>
    <row r="2" spans="1:71" x14ac:dyDescent="0.3">
      <c r="A2" t="s">
        <v>65</v>
      </c>
      <c r="B2" t="s">
        <v>66</v>
      </c>
      <c r="C2" t="s">
        <v>67</v>
      </c>
      <c r="D2" t="s">
        <v>68</v>
      </c>
      <c r="E2" s="2">
        <v>42895</v>
      </c>
      <c r="F2" s="2">
        <v>0.49027777777882869</v>
      </c>
      <c r="G2">
        <v>99</v>
      </c>
      <c r="H2" s="2">
        <v>42922</v>
      </c>
      <c r="I2" s="2">
        <v>0.33541666666496889</v>
      </c>
      <c r="J2" t="s">
        <v>69</v>
      </c>
      <c r="K2">
        <v>252</v>
      </c>
      <c r="L2" t="s">
        <v>70</v>
      </c>
      <c r="M2" t="s">
        <v>71</v>
      </c>
      <c r="N2" t="s">
        <v>72</v>
      </c>
      <c r="O2" t="s">
        <v>73</v>
      </c>
      <c r="P2" t="s">
        <v>74</v>
      </c>
      <c r="Q2" t="s">
        <v>75</v>
      </c>
      <c r="R2">
        <v>9.6376252891287599</v>
      </c>
      <c r="S2">
        <v>0.26985350809560521</v>
      </c>
      <c r="T2" s="6">
        <f>SUM(R2+S2)</f>
        <v>9.9074787972243659</v>
      </c>
      <c r="U2" s="6">
        <v>6.2204852629864842</v>
      </c>
      <c r="V2" s="6">
        <v>0.1139879498453021</v>
      </c>
      <c r="W2" s="6">
        <f>SUM(U2+V2)</f>
        <v>6.334473212831786</v>
      </c>
      <c r="X2" s="6">
        <v>6.6464718460441912</v>
      </c>
      <c r="Y2" s="6">
        <v>6.236635780470421E-2</v>
      </c>
      <c r="Z2" s="6">
        <f>SUM(X2+Y2)</f>
        <v>6.7088382038488952</v>
      </c>
      <c r="AA2" s="6">
        <v>9.7998425728100766</v>
      </c>
      <c r="AB2" s="6">
        <v>9.5580793882829196E-2</v>
      </c>
      <c r="AC2" s="6">
        <f>SUM(AA2+AB2)</f>
        <v>9.8954233666929063</v>
      </c>
      <c r="AD2" s="6">
        <v>10.20352991155911</v>
      </c>
      <c r="AE2" s="6">
        <v>6.9516857838025733E-2</v>
      </c>
      <c r="AF2" s="6">
        <f>SUM(AD2+AE2)</f>
        <v>10.273046769397137</v>
      </c>
      <c r="AG2" s="6">
        <v>9.5870331219168428</v>
      </c>
      <c r="AH2" s="6">
        <v>0.1014799154334038</v>
      </c>
      <c r="AI2" s="6">
        <f>SUM(AG2+AH2)</f>
        <v>9.6885130373502459</v>
      </c>
      <c r="AJ2">
        <v>2.9568736472538721</v>
      </c>
      <c r="AK2" s="3">
        <v>76.765410495897598</v>
      </c>
      <c r="AL2">
        <v>19.320568053450991</v>
      </c>
      <c r="AM2">
        <v>25.168325068076712</v>
      </c>
      <c r="AN2">
        <v>3.9161317808722549</v>
      </c>
      <c r="AO2">
        <v>152.38094986506209</v>
      </c>
      <c r="AP2">
        <v>214.61974831529139</v>
      </c>
      <c r="AQ2">
        <v>140.8442121573226</v>
      </c>
      <c r="AR2">
        <v>5.5131521028222181</v>
      </c>
      <c r="AS2">
        <v>189.6712254547611</v>
      </c>
      <c r="AT2">
        <v>220.6724159603701</v>
      </c>
      <c r="AU2">
        <v>116.344698797237</v>
      </c>
      <c r="AV2">
        <v>7.4518302484363632</v>
      </c>
      <c r="AW2">
        <v>160.52420841928631</v>
      </c>
      <c r="AX2">
        <v>179.496898224284</v>
      </c>
      <c r="AY2">
        <v>111.8192078265488</v>
      </c>
      <c r="AZ2">
        <v>9.3108254434683015</v>
      </c>
      <c r="BA2">
        <v>161.08553977314949</v>
      </c>
      <c r="BB2">
        <v>150.4065380894738</v>
      </c>
      <c r="BC2">
        <v>93.370601918263759</v>
      </c>
      <c r="BD2">
        <v>10.646426680528251</v>
      </c>
      <c r="BE2">
        <v>148.7810635147554</v>
      </c>
      <c r="BF2">
        <v>125.04687885837311</v>
      </c>
      <c r="BG2">
        <v>84.047576959262386</v>
      </c>
      <c r="BH2">
        <v>0.81417255804766764</v>
      </c>
      <c r="BI2">
        <v>6.5810781131206197E-2</v>
      </c>
      <c r="BJ2">
        <v>0.81896658619836604</v>
      </c>
      <c r="BK2">
        <v>6.6293918696550005E-2</v>
      </c>
      <c r="BL2">
        <v>0.8246634674413762</v>
      </c>
      <c r="BM2">
        <v>6.7716579553404196E-2</v>
      </c>
      <c r="BN2">
        <v>0.82585230371959417</v>
      </c>
      <c r="BO2">
        <v>7.47286665122424E-2</v>
      </c>
      <c r="BP2">
        <v>0.82885315041327334</v>
      </c>
      <c r="BQ2">
        <v>7.7462228842340899E-2</v>
      </c>
      <c r="BR2">
        <v>0.82955160083549573</v>
      </c>
      <c r="BS2">
        <v>7.7786127270399102E-2</v>
      </c>
    </row>
    <row r="3" spans="1:71" x14ac:dyDescent="0.3">
      <c r="A3" t="s">
        <v>65</v>
      </c>
      <c r="B3" t="s">
        <v>76</v>
      </c>
      <c r="C3" t="s">
        <v>77</v>
      </c>
      <c r="D3" t="s">
        <v>78</v>
      </c>
      <c r="E3" s="2">
        <v>42895</v>
      </c>
      <c r="F3" s="2">
        <v>0.53333333333284827</v>
      </c>
      <c r="G3">
        <v>99</v>
      </c>
      <c r="H3" s="2">
        <v>42922</v>
      </c>
      <c r="I3" s="2">
        <v>0.35277777777810121</v>
      </c>
      <c r="J3" t="s">
        <v>69</v>
      </c>
      <c r="K3">
        <v>426</v>
      </c>
      <c r="L3" t="s">
        <v>70</v>
      </c>
      <c r="M3" t="s">
        <v>71</v>
      </c>
      <c r="N3" t="s">
        <v>79</v>
      </c>
      <c r="O3" t="s">
        <v>80</v>
      </c>
      <c r="P3" t="s">
        <v>81</v>
      </c>
      <c r="Q3" t="s">
        <v>82</v>
      </c>
      <c r="R3">
        <v>9.6376252891287599</v>
      </c>
      <c r="S3">
        <v>0.26985350809560521</v>
      </c>
      <c r="T3" s="6">
        <f t="shared" ref="T3:T66" si="0">SUM(R3+S3)</f>
        <v>9.9074787972243659</v>
      </c>
      <c r="U3" s="6">
        <v>6.2204852629864842</v>
      </c>
      <c r="V3" s="6">
        <v>0.1139879498453021</v>
      </c>
      <c r="W3" s="6">
        <f t="shared" ref="W3:W66" si="1">SUM(U3+V3)</f>
        <v>6.334473212831786</v>
      </c>
      <c r="X3" s="6">
        <v>6.6464718460441912</v>
      </c>
      <c r="Y3" s="6">
        <v>6.236635780470421E-2</v>
      </c>
      <c r="Z3" s="6">
        <f t="shared" ref="Z3:Z66" si="2">SUM(X3+Y3)</f>
        <v>6.7088382038488952</v>
      </c>
      <c r="AA3" s="6">
        <v>9.7998425728100766</v>
      </c>
      <c r="AB3" s="6">
        <v>9.5580793882829196E-2</v>
      </c>
      <c r="AC3" s="6">
        <f t="shared" ref="AC3:AC66" si="3">SUM(AA3+AB3)</f>
        <v>9.8954233666929063</v>
      </c>
      <c r="AD3" s="6">
        <v>10.20352991155911</v>
      </c>
      <c r="AE3" s="6">
        <v>6.9516857838025733E-2</v>
      </c>
      <c r="AF3" s="6">
        <f t="shared" ref="AF3:AF66" si="4">SUM(AD3+AE3)</f>
        <v>10.273046769397137</v>
      </c>
      <c r="AG3" s="6">
        <v>9.5870331219168428</v>
      </c>
      <c r="AH3" s="6">
        <v>0.1014799154334038</v>
      </c>
      <c r="AI3" s="6">
        <f t="shared" ref="AI3:AI66" si="5">SUM(AG3+AH3)</f>
        <v>9.6885130373502459</v>
      </c>
      <c r="AJ3">
        <v>2.9568736472538721</v>
      </c>
      <c r="AK3" s="3">
        <v>76.765410495897598</v>
      </c>
      <c r="AL3">
        <v>19.320568053450991</v>
      </c>
      <c r="AM3">
        <v>25.168325068076712</v>
      </c>
      <c r="AN3">
        <v>3.9161317808722549</v>
      </c>
      <c r="AO3">
        <v>152.38094986506209</v>
      </c>
      <c r="AP3">
        <v>214.61974831529139</v>
      </c>
      <c r="AQ3">
        <v>140.8442121573226</v>
      </c>
      <c r="AR3">
        <v>5.5131521028222181</v>
      </c>
      <c r="AS3">
        <v>189.6712254547611</v>
      </c>
      <c r="AT3">
        <v>220.6724159603701</v>
      </c>
      <c r="AU3">
        <v>116.344698797237</v>
      </c>
      <c r="AV3">
        <v>7.4518302484363632</v>
      </c>
      <c r="AW3">
        <v>160.52420841928631</v>
      </c>
      <c r="AX3">
        <v>179.496898224284</v>
      </c>
      <c r="AY3">
        <v>111.8192078265488</v>
      </c>
      <c r="AZ3">
        <v>9.3108254434683015</v>
      </c>
      <c r="BA3">
        <v>161.08553977314949</v>
      </c>
      <c r="BB3">
        <v>150.4065380894738</v>
      </c>
      <c r="BC3">
        <v>93.370601918263759</v>
      </c>
      <c r="BD3">
        <v>10.646426680528251</v>
      </c>
      <c r="BE3">
        <v>148.7810635147554</v>
      </c>
      <c r="BF3">
        <v>125.04687885837311</v>
      </c>
      <c r="BG3">
        <v>84.047576959262386</v>
      </c>
      <c r="BH3">
        <v>0.81417255804766764</v>
      </c>
      <c r="BI3">
        <v>6.5810781131206197E-2</v>
      </c>
      <c r="BJ3">
        <v>0.81896658619836604</v>
      </c>
      <c r="BK3">
        <v>6.6293918696550005E-2</v>
      </c>
      <c r="BL3">
        <v>0.8246634674413762</v>
      </c>
      <c r="BM3">
        <v>6.7716579553404196E-2</v>
      </c>
      <c r="BN3">
        <v>0.82585230371959417</v>
      </c>
      <c r="BO3">
        <v>7.47286665122424E-2</v>
      </c>
      <c r="BP3">
        <v>0.82885315041327334</v>
      </c>
      <c r="BQ3">
        <v>7.7462228842340899E-2</v>
      </c>
      <c r="BR3">
        <v>0.82955160083549573</v>
      </c>
      <c r="BS3">
        <v>7.7786127270399102E-2</v>
      </c>
    </row>
    <row r="4" spans="1:71" x14ac:dyDescent="0.3">
      <c r="A4" t="s">
        <v>65</v>
      </c>
      <c r="B4" t="s">
        <v>83</v>
      </c>
      <c r="C4" t="s">
        <v>84</v>
      </c>
      <c r="D4" t="s">
        <v>85</v>
      </c>
      <c r="E4" s="2">
        <v>42895</v>
      </c>
      <c r="F4" s="2">
        <v>0.55486111111167702</v>
      </c>
      <c r="G4">
        <v>99</v>
      </c>
      <c r="H4" s="2">
        <v>42922</v>
      </c>
      <c r="I4" s="2">
        <v>0.36388888888905058</v>
      </c>
      <c r="J4" t="s">
        <v>86</v>
      </c>
      <c r="K4">
        <v>329</v>
      </c>
      <c r="L4" t="s">
        <v>87</v>
      </c>
      <c r="M4" t="s">
        <v>88</v>
      </c>
      <c r="N4" t="s">
        <v>89</v>
      </c>
      <c r="O4" t="s">
        <v>90</v>
      </c>
      <c r="P4" t="s">
        <v>91</v>
      </c>
      <c r="Q4" t="s">
        <v>92</v>
      </c>
      <c r="R4">
        <v>9.6376252891287599</v>
      </c>
      <c r="S4">
        <v>0.26985350809560521</v>
      </c>
      <c r="T4" s="6">
        <f t="shared" si="0"/>
        <v>9.9074787972243659</v>
      </c>
      <c r="U4" s="6">
        <v>6.2204852629864842</v>
      </c>
      <c r="V4" s="6">
        <v>0.1139879498453021</v>
      </c>
      <c r="W4" s="6">
        <f t="shared" si="1"/>
        <v>6.334473212831786</v>
      </c>
      <c r="X4" s="6">
        <v>6.6464718460441912</v>
      </c>
      <c r="Y4" s="6">
        <v>6.236635780470421E-2</v>
      </c>
      <c r="Z4" s="6">
        <f t="shared" si="2"/>
        <v>6.7088382038488952</v>
      </c>
      <c r="AA4" s="6">
        <v>9.7998425728100766</v>
      </c>
      <c r="AB4" s="6">
        <v>9.5580793882829196E-2</v>
      </c>
      <c r="AC4" s="6">
        <f t="shared" si="3"/>
        <v>9.8954233666929063</v>
      </c>
      <c r="AD4" s="6">
        <v>10.20352991155911</v>
      </c>
      <c r="AE4" s="6">
        <v>6.9516857838025733E-2</v>
      </c>
      <c r="AF4" s="6">
        <f t="shared" si="4"/>
        <v>10.273046769397137</v>
      </c>
      <c r="AG4" s="6">
        <v>9.5870331219168428</v>
      </c>
      <c r="AH4" s="6">
        <v>0.1014799154334038</v>
      </c>
      <c r="AI4" s="6">
        <f t="shared" si="5"/>
        <v>9.6885130373502459</v>
      </c>
      <c r="AJ4">
        <v>2.9568736472538721</v>
      </c>
      <c r="AK4" s="3">
        <v>76.765410495897598</v>
      </c>
      <c r="AL4">
        <v>19.320568053450991</v>
      </c>
      <c r="AM4">
        <v>25.168325068076712</v>
      </c>
      <c r="AN4">
        <v>3.9161317808722549</v>
      </c>
      <c r="AO4">
        <v>152.38094986506209</v>
      </c>
      <c r="AP4">
        <v>214.61974831529139</v>
      </c>
      <c r="AQ4">
        <v>140.8442121573226</v>
      </c>
      <c r="AR4">
        <v>5.5131521028222181</v>
      </c>
      <c r="AS4">
        <v>189.6712254547611</v>
      </c>
      <c r="AT4">
        <v>220.6724159603701</v>
      </c>
      <c r="AU4">
        <v>116.344698797237</v>
      </c>
      <c r="AV4">
        <v>7.4518302484363632</v>
      </c>
      <c r="AW4">
        <v>160.52420841928631</v>
      </c>
      <c r="AX4">
        <v>179.496898224284</v>
      </c>
      <c r="AY4">
        <v>111.8192078265488</v>
      </c>
      <c r="AZ4">
        <v>9.3108254434683015</v>
      </c>
      <c r="BA4">
        <v>161.08553977314949</v>
      </c>
      <c r="BB4">
        <v>150.4065380894738</v>
      </c>
      <c r="BC4">
        <v>93.370601918263759</v>
      </c>
      <c r="BD4">
        <v>10.646426680528251</v>
      </c>
      <c r="BE4">
        <v>148.7810635147554</v>
      </c>
      <c r="BF4">
        <v>125.04687885837311</v>
      </c>
      <c r="BG4">
        <v>84.047576959262386</v>
      </c>
      <c r="BH4">
        <v>0.81417255804766764</v>
      </c>
      <c r="BI4">
        <v>6.5810781131206197E-2</v>
      </c>
      <c r="BJ4">
        <v>0.81896658619836604</v>
      </c>
      <c r="BK4">
        <v>6.6293918696550005E-2</v>
      </c>
      <c r="BL4">
        <v>0.8246634674413762</v>
      </c>
      <c r="BM4">
        <v>6.7716579553404196E-2</v>
      </c>
      <c r="BN4">
        <v>0.82585230371959417</v>
      </c>
      <c r="BO4">
        <v>7.47286665122424E-2</v>
      </c>
      <c r="BP4">
        <v>0.82885315041327334</v>
      </c>
      <c r="BQ4">
        <v>7.7462228842340899E-2</v>
      </c>
      <c r="BR4">
        <v>0.82955160083549573</v>
      </c>
      <c r="BS4">
        <v>7.7786127270399102E-2</v>
      </c>
    </row>
    <row r="5" spans="1:71" x14ac:dyDescent="0.3">
      <c r="A5" t="s">
        <v>93</v>
      </c>
      <c r="B5" t="s">
        <v>66</v>
      </c>
      <c r="C5" t="s">
        <v>94</v>
      </c>
      <c r="D5" t="s">
        <v>95</v>
      </c>
      <c r="E5" s="2">
        <v>43354</v>
      </c>
      <c r="F5" s="2">
        <v>0.49652777777737361</v>
      </c>
      <c r="G5">
        <v>95</v>
      </c>
      <c r="H5" s="2">
        <v>43397</v>
      </c>
      <c r="I5" s="2">
        <v>0.46319444444452529</v>
      </c>
      <c r="J5" t="s">
        <v>96</v>
      </c>
      <c r="K5">
        <v>83</v>
      </c>
      <c r="L5" t="s">
        <v>97</v>
      </c>
      <c r="M5" t="s">
        <v>98</v>
      </c>
      <c r="N5" t="s">
        <v>99</v>
      </c>
      <c r="O5" t="s">
        <v>100</v>
      </c>
      <c r="P5" t="s">
        <v>101</v>
      </c>
      <c r="R5">
        <v>5.3179190751445091</v>
      </c>
      <c r="S5">
        <v>0.88631984585741819</v>
      </c>
      <c r="T5" s="6">
        <f t="shared" si="0"/>
        <v>6.2042389210019273</v>
      </c>
      <c r="U5" s="6">
        <v>6.840390879478826</v>
      </c>
      <c r="V5" s="6">
        <v>0.37459283387622139</v>
      </c>
      <c r="W5" s="6">
        <f t="shared" si="1"/>
        <v>7.2149837133550472</v>
      </c>
      <c r="X5" s="6">
        <v>6.128629966150009</v>
      </c>
      <c r="Y5" s="6">
        <v>0.2048815250311776</v>
      </c>
      <c r="Z5" s="6">
        <f t="shared" si="2"/>
        <v>6.3335114911811869</v>
      </c>
      <c r="AA5" s="6">
        <v>10.717498875393609</v>
      </c>
      <c r="AB5" s="6">
        <v>0.12932973459289249</v>
      </c>
      <c r="AC5" s="6">
        <f t="shared" si="3"/>
        <v>10.846828609986501</v>
      </c>
      <c r="AD5" s="6">
        <v>10.984087749111691</v>
      </c>
      <c r="AE5" s="6">
        <v>8.8830526803645921E-2</v>
      </c>
      <c r="AF5" s="6">
        <f t="shared" si="4"/>
        <v>11.072918275915336</v>
      </c>
      <c r="AG5" s="6">
        <v>10.261325515180561</v>
      </c>
      <c r="AH5" s="6">
        <v>6.4838045837679353E-2</v>
      </c>
      <c r="AI5" s="6">
        <f t="shared" si="5"/>
        <v>10.326163561018239</v>
      </c>
      <c r="AJ5">
        <v>4.34902038389877</v>
      </c>
      <c r="AK5" s="3">
        <v>480.89148762632891</v>
      </c>
      <c r="AL5">
        <v>68.270638303352683</v>
      </c>
      <c r="AM5">
        <v>14.196682632153721</v>
      </c>
      <c r="AN5">
        <v>3.5678074630877732</v>
      </c>
      <c r="AO5">
        <v>232.11501585311541</v>
      </c>
      <c r="AP5">
        <v>158.58108057776801</v>
      </c>
      <c r="AQ5">
        <v>68.320043834699447</v>
      </c>
      <c r="AR5">
        <v>3.0095560161488191</v>
      </c>
      <c r="AS5">
        <v>197.24453387562389</v>
      </c>
      <c r="AT5">
        <v>160.28022471962049</v>
      </c>
      <c r="AU5">
        <v>81.259653471912202</v>
      </c>
      <c r="AV5">
        <v>4.5693139000776801</v>
      </c>
      <c r="AW5">
        <v>151.7706240299523</v>
      </c>
      <c r="AX5">
        <v>105.4438412179797</v>
      </c>
      <c r="AY5">
        <v>69.475790780942006</v>
      </c>
      <c r="AZ5">
        <v>5.1311281648718374</v>
      </c>
      <c r="BA5">
        <v>142.65996597669451</v>
      </c>
      <c r="BB5">
        <v>101.1390340340906</v>
      </c>
      <c r="BC5">
        <v>70.895176051432031</v>
      </c>
      <c r="BD5">
        <v>5.0001449046525313</v>
      </c>
      <c r="BE5">
        <v>154.97493330803709</v>
      </c>
      <c r="BF5">
        <v>117.4571421740861</v>
      </c>
      <c r="BG5">
        <v>75.791058377564582</v>
      </c>
      <c r="BH5">
        <v>0.77401073220009331</v>
      </c>
      <c r="BI5">
        <v>9.6213353615812097E-2</v>
      </c>
      <c r="BJ5">
        <v>0.79069275694376917</v>
      </c>
      <c r="BK5">
        <v>9.3037542361569595E-2</v>
      </c>
      <c r="BL5">
        <v>0.77370141712043816</v>
      </c>
      <c r="BM5">
        <v>9.9191590450675493E-2</v>
      </c>
      <c r="BN5">
        <v>0.78120662957592046</v>
      </c>
      <c r="BO5">
        <v>0.1011542459276331</v>
      </c>
      <c r="BP5">
        <v>0.77462948796363007</v>
      </c>
      <c r="BQ5">
        <v>0.10421872447777419</v>
      </c>
      <c r="BR5">
        <v>0.77417889530603101</v>
      </c>
      <c r="BS5">
        <v>0.1051408721877477</v>
      </c>
    </row>
    <row r="6" spans="1:71" x14ac:dyDescent="0.3">
      <c r="A6" t="s">
        <v>93</v>
      </c>
      <c r="B6" t="s">
        <v>76</v>
      </c>
      <c r="C6" t="s">
        <v>102</v>
      </c>
      <c r="D6" t="s">
        <v>103</v>
      </c>
      <c r="E6" s="2">
        <v>43354</v>
      </c>
      <c r="F6" s="2">
        <v>0.59652777777955635</v>
      </c>
      <c r="G6">
        <v>97</v>
      </c>
      <c r="H6" s="2">
        <v>43397</v>
      </c>
      <c r="I6" s="2">
        <v>0.49375000000145519</v>
      </c>
      <c r="J6" t="s">
        <v>96</v>
      </c>
      <c r="K6">
        <v>465</v>
      </c>
      <c r="L6" t="s">
        <v>70</v>
      </c>
      <c r="M6" t="s">
        <v>98</v>
      </c>
      <c r="N6" t="s">
        <v>104</v>
      </c>
      <c r="O6" t="s">
        <v>105</v>
      </c>
      <c r="P6" t="s">
        <v>106</v>
      </c>
      <c r="R6">
        <v>5.3179190751445091</v>
      </c>
      <c r="S6">
        <v>0.88631984585741819</v>
      </c>
      <c r="T6" s="6">
        <f t="shared" si="0"/>
        <v>6.2042389210019273</v>
      </c>
      <c r="U6" s="6">
        <v>6.840390879478826</v>
      </c>
      <c r="V6" s="6">
        <v>0.37459283387622139</v>
      </c>
      <c r="W6" s="6">
        <f t="shared" si="1"/>
        <v>7.2149837133550472</v>
      </c>
      <c r="X6" s="6">
        <v>6.128629966150009</v>
      </c>
      <c r="Y6" s="6">
        <v>0.2048815250311776</v>
      </c>
      <c r="Z6" s="6">
        <f t="shared" si="2"/>
        <v>6.3335114911811869</v>
      </c>
      <c r="AA6" s="6">
        <v>10.717498875393609</v>
      </c>
      <c r="AB6" s="6">
        <v>0.12932973459289249</v>
      </c>
      <c r="AC6" s="6">
        <f t="shared" si="3"/>
        <v>10.846828609986501</v>
      </c>
      <c r="AD6" s="6">
        <v>10.984087749111691</v>
      </c>
      <c r="AE6" s="6">
        <v>8.8830526803645921E-2</v>
      </c>
      <c r="AF6" s="6">
        <f t="shared" si="4"/>
        <v>11.072918275915336</v>
      </c>
      <c r="AG6" s="6">
        <v>10.261325515180561</v>
      </c>
      <c r="AH6" s="6">
        <v>6.4838045837679353E-2</v>
      </c>
      <c r="AI6" s="6">
        <f t="shared" si="5"/>
        <v>10.326163561018239</v>
      </c>
      <c r="AJ6">
        <v>4.34902038389877</v>
      </c>
      <c r="AK6" s="3">
        <v>480.89148762632891</v>
      </c>
      <c r="AL6">
        <v>68.270638303352683</v>
      </c>
      <c r="AM6">
        <v>14.196682632153721</v>
      </c>
      <c r="AN6">
        <v>3.5678074630877732</v>
      </c>
      <c r="AO6">
        <v>232.11501585311541</v>
      </c>
      <c r="AP6">
        <v>158.58108057776801</v>
      </c>
      <c r="AQ6">
        <v>68.320043834699447</v>
      </c>
      <c r="AR6">
        <v>3.0095560161488191</v>
      </c>
      <c r="AS6">
        <v>197.24453387562389</v>
      </c>
      <c r="AT6">
        <v>160.28022471962049</v>
      </c>
      <c r="AU6">
        <v>81.259653471912202</v>
      </c>
      <c r="AV6">
        <v>4.5693139000776801</v>
      </c>
      <c r="AW6">
        <v>151.7706240299523</v>
      </c>
      <c r="AX6">
        <v>105.4438412179797</v>
      </c>
      <c r="AY6">
        <v>69.475790780942006</v>
      </c>
      <c r="AZ6">
        <v>5.1311281648718374</v>
      </c>
      <c r="BA6">
        <v>142.65996597669451</v>
      </c>
      <c r="BB6">
        <v>101.1390340340906</v>
      </c>
      <c r="BC6">
        <v>70.895176051432031</v>
      </c>
      <c r="BD6">
        <v>5.0001449046525313</v>
      </c>
      <c r="BE6">
        <v>154.97493330803709</v>
      </c>
      <c r="BF6">
        <v>117.4571421740861</v>
      </c>
      <c r="BG6">
        <v>75.791058377564582</v>
      </c>
      <c r="BH6">
        <v>0.77401073220009331</v>
      </c>
      <c r="BI6">
        <v>9.6213353615812097E-2</v>
      </c>
      <c r="BJ6">
        <v>0.79069275694376917</v>
      </c>
      <c r="BK6">
        <v>9.3037542361569595E-2</v>
      </c>
      <c r="BL6">
        <v>0.77370141712043816</v>
      </c>
      <c r="BM6">
        <v>9.9191590450675493E-2</v>
      </c>
      <c r="BN6">
        <v>0.78120662957592046</v>
      </c>
      <c r="BO6">
        <v>0.1011542459276331</v>
      </c>
      <c r="BP6">
        <v>0.77462948796363007</v>
      </c>
      <c r="BQ6">
        <v>0.10421872447777419</v>
      </c>
      <c r="BR6">
        <v>0.77417889530603101</v>
      </c>
      <c r="BS6">
        <v>0.1051408721877477</v>
      </c>
    </row>
    <row r="7" spans="1:71" x14ac:dyDescent="0.3">
      <c r="A7" t="s">
        <v>93</v>
      </c>
      <c r="B7" t="s">
        <v>83</v>
      </c>
      <c r="C7" t="s">
        <v>107</v>
      </c>
      <c r="D7" t="s">
        <v>108</v>
      </c>
      <c r="E7" s="2">
        <v>43354</v>
      </c>
      <c r="F7" s="2">
        <v>0.62013888888759539</v>
      </c>
      <c r="G7">
        <v>96</v>
      </c>
      <c r="H7" s="2">
        <v>43397</v>
      </c>
      <c r="I7" s="2">
        <v>0.48194444444379769</v>
      </c>
      <c r="J7" t="s">
        <v>96</v>
      </c>
      <c r="K7">
        <v>183</v>
      </c>
      <c r="L7" t="s">
        <v>70</v>
      </c>
      <c r="M7" t="s">
        <v>98</v>
      </c>
      <c r="N7" t="s">
        <v>109</v>
      </c>
      <c r="O7" t="s">
        <v>110</v>
      </c>
      <c r="P7" t="s">
        <v>111</v>
      </c>
      <c r="R7">
        <v>5.3179190751445091</v>
      </c>
      <c r="S7">
        <v>0.88631984585741819</v>
      </c>
      <c r="T7" s="6">
        <f t="shared" si="0"/>
        <v>6.2042389210019273</v>
      </c>
      <c r="U7" s="6">
        <v>6.840390879478826</v>
      </c>
      <c r="V7" s="6">
        <v>0.37459283387622139</v>
      </c>
      <c r="W7" s="6">
        <f t="shared" si="1"/>
        <v>7.2149837133550472</v>
      </c>
      <c r="X7" s="6">
        <v>6.128629966150009</v>
      </c>
      <c r="Y7" s="6">
        <v>0.2048815250311776</v>
      </c>
      <c r="Z7" s="6">
        <f t="shared" si="2"/>
        <v>6.3335114911811869</v>
      </c>
      <c r="AA7" s="6">
        <v>10.717498875393609</v>
      </c>
      <c r="AB7" s="6">
        <v>0.12932973459289249</v>
      </c>
      <c r="AC7" s="6">
        <f t="shared" si="3"/>
        <v>10.846828609986501</v>
      </c>
      <c r="AD7" s="6">
        <v>10.984087749111691</v>
      </c>
      <c r="AE7" s="6">
        <v>8.8830526803645921E-2</v>
      </c>
      <c r="AF7" s="6">
        <f t="shared" si="4"/>
        <v>11.072918275915336</v>
      </c>
      <c r="AG7" s="6">
        <v>10.261325515180561</v>
      </c>
      <c r="AH7" s="6">
        <v>6.4838045837679353E-2</v>
      </c>
      <c r="AI7" s="6">
        <f t="shared" si="5"/>
        <v>10.326163561018239</v>
      </c>
      <c r="AJ7">
        <v>4.34902038389877</v>
      </c>
      <c r="AK7" s="3">
        <v>480.89148762632891</v>
      </c>
      <c r="AL7">
        <v>68.270638303352683</v>
      </c>
      <c r="AM7">
        <v>14.196682632153721</v>
      </c>
      <c r="AN7">
        <v>3.5678074630877732</v>
      </c>
      <c r="AO7">
        <v>232.11501585311541</v>
      </c>
      <c r="AP7">
        <v>158.58108057776801</v>
      </c>
      <c r="AQ7">
        <v>68.320043834699447</v>
      </c>
      <c r="AR7">
        <v>3.0095560161488191</v>
      </c>
      <c r="AS7">
        <v>197.24453387562389</v>
      </c>
      <c r="AT7">
        <v>160.28022471962049</v>
      </c>
      <c r="AU7">
        <v>81.259653471912202</v>
      </c>
      <c r="AV7">
        <v>4.5693139000776801</v>
      </c>
      <c r="AW7">
        <v>151.7706240299523</v>
      </c>
      <c r="AX7">
        <v>105.4438412179797</v>
      </c>
      <c r="AY7">
        <v>69.475790780942006</v>
      </c>
      <c r="AZ7">
        <v>5.1311281648718374</v>
      </c>
      <c r="BA7">
        <v>142.65996597669451</v>
      </c>
      <c r="BB7">
        <v>101.1390340340906</v>
      </c>
      <c r="BC7">
        <v>70.895176051432031</v>
      </c>
      <c r="BD7">
        <v>5.0001449046525313</v>
      </c>
      <c r="BE7">
        <v>154.97493330803709</v>
      </c>
      <c r="BF7">
        <v>117.4571421740861</v>
      </c>
      <c r="BG7">
        <v>75.791058377564582</v>
      </c>
      <c r="BH7">
        <v>0.77401073220009331</v>
      </c>
      <c r="BI7">
        <v>9.6213353615812097E-2</v>
      </c>
      <c r="BJ7">
        <v>0.79069275694376917</v>
      </c>
      <c r="BK7">
        <v>9.3037542361569595E-2</v>
      </c>
      <c r="BL7">
        <v>0.77370141712043816</v>
      </c>
      <c r="BM7">
        <v>9.9191590450675493E-2</v>
      </c>
      <c r="BN7">
        <v>0.78120662957592046</v>
      </c>
      <c r="BO7">
        <v>0.1011542459276331</v>
      </c>
      <c r="BP7">
        <v>0.77462948796363007</v>
      </c>
      <c r="BQ7">
        <v>0.10421872447777419</v>
      </c>
      <c r="BR7">
        <v>0.77417889530603101</v>
      </c>
      <c r="BS7">
        <v>0.1051408721877477</v>
      </c>
    </row>
    <row r="8" spans="1:71" x14ac:dyDescent="0.3">
      <c r="A8" t="s">
        <v>112</v>
      </c>
      <c r="B8" t="s">
        <v>66</v>
      </c>
      <c r="C8" t="s">
        <v>113</v>
      </c>
      <c r="D8" t="s">
        <v>114</v>
      </c>
      <c r="E8" s="2">
        <v>43327</v>
      </c>
      <c r="F8" s="2">
        <v>0.72013888888977817</v>
      </c>
      <c r="G8">
        <v>99</v>
      </c>
      <c r="H8" s="2">
        <v>43327</v>
      </c>
      <c r="I8" s="2">
        <v>0.64236111110949423</v>
      </c>
      <c r="J8" t="s">
        <v>115</v>
      </c>
      <c r="K8">
        <v>11</v>
      </c>
      <c r="L8" t="s">
        <v>70</v>
      </c>
      <c r="M8" t="s">
        <v>116</v>
      </c>
      <c r="N8" t="s">
        <v>117</v>
      </c>
      <c r="O8" t="s">
        <v>118</v>
      </c>
      <c r="P8" t="s">
        <v>119</v>
      </c>
      <c r="R8">
        <v>1.811873554356207</v>
      </c>
      <c r="S8">
        <v>0</v>
      </c>
      <c r="T8" s="6">
        <f t="shared" si="0"/>
        <v>1.811873554356207</v>
      </c>
      <c r="U8" s="6">
        <v>1.1237785016286641</v>
      </c>
      <c r="V8" s="6">
        <v>9.7719869706840393E-2</v>
      </c>
      <c r="W8" s="6">
        <f t="shared" si="1"/>
        <v>1.2214983713355045</v>
      </c>
      <c r="X8" s="6">
        <v>1.29210479415434</v>
      </c>
      <c r="Y8" s="6">
        <v>0.2316877561931919</v>
      </c>
      <c r="Z8" s="6">
        <f t="shared" si="2"/>
        <v>1.5237925503475318</v>
      </c>
      <c r="AA8" s="6">
        <v>1.6365783701704071</v>
      </c>
      <c r="AB8" s="6">
        <v>0.86609302064000904</v>
      </c>
      <c r="AC8" s="6">
        <f t="shared" si="3"/>
        <v>2.5026713908104163</v>
      </c>
      <c r="AD8" s="6">
        <v>1.7418507647149699</v>
      </c>
      <c r="AE8" s="6">
        <v>3.8660590143673721</v>
      </c>
      <c r="AF8" s="6">
        <f t="shared" si="4"/>
        <v>5.607909779082342</v>
      </c>
      <c r="AG8" s="6">
        <v>1.801166953237308</v>
      </c>
      <c r="AH8" s="6">
        <v>4.3746652760943707</v>
      </c>
      <c r="AI8" s="6">
        <f t="shared" si="5"/>
        <v>6.1758322293316787</v>
      </c>
      <c r="AJ8">
        <v>1.8926292411416441</v>
      </c>
      <c r="AK8" s="3">
        <v>198.65380215668131</v>
      </c>
      <c r="AL8">
        <v>0</v>
      </c>
      <c r="AM8">
        <v>0</v>
      </c>
      <c r="AN8">
        <v>1.510076522187263</v>
      </c>
      <c r="AO8">
        <v>127.7060156721332</v>
      </c>
      <c r="AP8">
        <v>81.923447250489659</v>
      </c>
      <c r="AQ8">
        <v>64.150029909958462</v>
      </c>
      <c r="AR8">
        <v>1.7214872352938</v>
      </c>
      <c r="AS8">
        <v>183.7096042899482</v>
      </c>
      <c r="AT8">
        <v>65.033433528131653</v>
      </c>
      <c r="AU8">
        <v>35.400127162371767</v>
      </c>
      <c r="AV8">
        <v>2.239946841244663</v>
      </c>
      <c r="AW8">
        <v>175.0685635331682</v>
      </c>
      <c r="AX8">
        <v>130.27843343627649</v>
      </c>
      <c r="AY8">
        <v>74.415663673160921</v>
      </c>
      <c r="AZ8">
        <v>5.5685869465802034</v>
      </c>
      <c r="BA8">
        <v>158.2094303518418</v>
      </c>
      <c r="BB8">
        <v>110.33984043164349</v>
      </c>
      <c r="BC8">
        <v>69.742897238337093</v>
      </c>
      <c r="BD8">
        <v>5.8819158401995457</v>
      </c>
      <c r="BE8">
        <v>158.0596445731949</v>
      </c>
      <c r="BF8">
        <v>102.24016189889051</v>
      </c>
      <c r="BG8">
        <v>64.684544986145838</v>
      </c>
      <c r="BH8">
        <v>0.76373313708203583</v>
      </c>
      <c r="BI8">
        <v>5.7892021394164203E-2</v>
      </c>
      <c r="BJ8">
        <v>0.76482605589770136</v>
      </c>
      <c r="BK8">
        <v>6.3886137211643101E-2</v>
      </c>
      <c r="BL8">
        <v>0.76748839713747907</v>
      </c>
      <c r="BM8">
        <v>8.1460033742521504E-2</v>
      </c>
      <c r="BN8">
        <v>0.73143031278121029</v>
      </c>
      <c r="BO8">
        <v>0.10902262914821061</v>
      </c>
      <c r="BP8">
        <v>0.64832173835839557</v>
      </c>
      <c r="BQ8">
        <v>0.13044326137236481</v>
      </c>
      <c r="BR8">
        <v>0.64742378539171563</v>
      </c>
      <c r="BS8">
        <v>0.13089212276684151</v>
      </c>
    </row>
    <row r="9" spans="1:71" x14ac:dyDescent="0.3">
      <c r="A9" t="s">
        <v>112</v>
      </c>
      <c r="B9" t="s">
        <v>76</v>
      </c>
      <c r="C9" t="s">
        <v>120</v>
      </c>
      <c r="D9" t="s">
        <v>121</v>
      </c>
      <c r="E9" s="2">
        <v>43327</v>
      </c>
      <c r="F9" s="2">
        <v>0.74375000000145519</v>
      </c>
      <c r="G9">
        <v>93</v>
      </c>
      <c r="H9" s="2">
        <v>43327</v>
      </c>
      <c r="I9" s="2">
        <v>0.65625</v>
      </c>
      <c r="J9" t="s">
        <v>122</v>
      </c>
      <c r="K9">
        <v>197</v>
      </c>
      <c r="L9" t="s">
        <v>70</v>
      </c>
      <c r="M9" t="s">
        <v>123</v>
      </c>
      <c r="N9" t="s">
        <v>124</v>
      </c>
      <c r="O9" t="s">
        <v>125</v>
      </c>
      <c r="P9" t="s">
        <v>126</v>
      </c>
      <c r="Q9" t="s">
        <v>127</v>
      </c>
      <c r="R9">
        <v>1.811873554356207</v>
      </c>
      <c r="S9">
        <v>0</v>
      </c>
      <c r="T9" s="6">
        <f t="shared" si="0"/>
        <v>1.811873554356207</v>
      </c>
      <c r="U9" s="6">
        <v>1.1237785016286641</v>
      </c>
      <c r="V9" s="6">
        <v>9.7719869706840393E-2</v>
      </c>
      <c r="W9" s="6">
        <f t="shared" si="1"/>
        <v>1.2214983713355045</v>
      </c>
      <c r="X9" s="6">
        <v>1.29210479415434</v>
      </c>
      <c r="Y9" s="6">
        <v>0.2316877561931919</v>
      </c>
      <c r="Z9" s="6">
        <f t="shared" si="2"/>
        <v>1.5237925503475318</v>
      </c>
      <c r="AA9" s="6">
        <v>1.6365783701704071</v>
      </c>
      <c r="AB9" s="6">
        <v>0.86609302064000904</v>
      </c>
      <c r="AC9" s="6">
        <f t="shared" si="3"/>
        <v>2.5026713908104163</v>
      </c>
      <c r="AD9" s="6">
        <v>1.7418507647149699</v>
      </c>
      <c r="AE9" s="6">
        <v>3.8660590143673721</v>
      </c>
      <c r="AF9" s="6">
        <f t="shared" si="4"/>
        <v>5.607909779082342</v>
      </c>
      <c r="AG9" s="6">
        <v>1.801166953237308</v>
      </c>
      <c r="AH9" s="6">
        <v>4.3746652760943707</v>
      </c>
      <c r="AI9" s="6">
        <f t="shared" si="5"/>
        <v>6.1758322293316787</v>
      </c>
      <c r="AJ9">
        <v>1.8926292411416441</v>
      </c>
      <c r="AK9" s="3">
        <v>198.65380215668131</v>
      </c>
      <c r="AL9">
        <v>0</v>
      </c>
      <c r="AM9">
        <v>0</v>
      </c>
      <c r="AN9">
        <v>1.510076522187263</v>
      </c>
      <c r="AO9">
        <v>127.7060156721332</v>
      </c>
      <c r="AP9">
        <v>81.923447250489659</v>
      </c>
      <c r="AQ9">
        <v>64.150029909958462</v>
      </c>
      <c r="AR9">
        <v>1.7214872352938</v>
      </c>
      <c r="AS9">
        <v>183.7096042899482</v>
      </c>
      <c r="AT9">
        <v>65.033433528131653</v>
      </c>
      <c r="AU9">
        <v>35.400127162371767</v>
      </c>
      <c r="AV9">
        <v>2.239946841244663</v>
      </c>
      <c r="AW9">
        <v>175.0685635331682</v>
      </c>
      <c r="AX9">
        <v>130.27843343627649</v>
      </c>
      <c r="AY9">
        <v>74.415663673160921</v>
      </c>
      <c r="AZ9">
        <v>5.5685869465802034</v>
      </c>
      <c r="BA9">
        <v>158.2094303518418</v>
      </c>
      <c r="BB9">
        <v>110.33984043164349</v>
      </c>
      <c r="BC9">
        <v>69.742897238337093</v>
      </c>
      <c r="BD9">
        <v>5.8819158401995457</v>
      </c>
      <c r="BE9">
        <v>158.0596445731949</v>
      </c>
      <c r="BF9">
        <v>102.24016189889051</v>
      </c>
      <c r="BG9">
        <v>64.684544986145838</v>
      </c>
      <c r="BH9">
        <v>0.76373313708203583</v>
      </c>
      <c r="BI9">
        <v>5.7892021394164203E-2</v>
      </c>
      <c r="BJ9">
        <v>0.76482605589770136</v>
      </c>
      <c r="BK9">
        <v>6.3886137211643101E-2</v>
      </c>
      <c r="BL9">
        <v>0.76748839713747907</v>
      </c>
      <c r="BM9">
        <v>8.1460033742521504E-2</v>
      </c>
      <c r="BN9">
        <v>0.73143031278121029</v>
      </c>
      <c r="BO9">
        <v>0.10902262914821061</v>
      </c>
      <c r="BP9">
        <v>0.64832173835839557</v>
      </c>
      <c r="BQ9">
        <v>0.13044326137236481</v>
      </c>
      <c r="BR9">
        <v>0.64742378539171563</v>
      </c>
      <c r="BS9">
        <v>0.13089212276684151</v>
      </c>
    </row>
    <row r="10" spans="1:71" x14ac:dyDescent="0.3">
      <c r="A10" t="s">
        <v>112</v>
      </c>
      <c r="B10" t="s">
        <v>83</v>
      </c>
      <c r="C10" t="s">
        <v>128</v>
      </c>
      <c r="D10" t="s">
        <v>129</v>
      </c>
      <c r="E10" s="2">
        <v>43327</v>
      </c>
      <c r="F10" s="2">
        <v>0.75763888888832298</v>
      </c>
      <c r="G10">
        <v>87</v>
      </c>
      <c r="H10" s="2">
        <v>43327</v>
      </c>
      <c r="I10" s="2">
        <v>0.67777777777882875</v>
      </c>
      <c r="J10" t="s">
        <v>130</v>
      </c>
      <c r="K10">
        <v>108</v>
      </c>
      <c r="L10" t="s">
        <v>70</v>
      </c>
      <c r="M10" t="s">
        <v>131</v>
      </c>
      <c r="N10" t="s">
        <v>132</v>
      </c>
      <c r="O10" t="s">
        <v>133</v>
      </c>
      <c r="P10" t="s">
        <v>134</v>
      </c>
      <c r="R10">
        <v>1.811873554356207</v>
      </c>
      <c r="S10">
        <v>0</v>
      </c>
      <c r="T10" s="6">
        <f t="shared" si="0"/>
        <v>1.811873554356207</v>
      </c>
      <c r="U10" s="6">
        <v>1.1237785016286641</v>
      </c>
      <c r="V10" s="6">
        <v>9.7719869706840393E-2</v>
      </c>
      <c r="W10" s="6">
        <f t="shared" si="1"/>
        <v>1.2214983713355045</v>
      </c>
      <c r="X10" s="6">
        <v>1.29210479415434</v>
      </c>
      <c r="Y10" s="6">
        <v>0.2316877561931919</v>
      </c>
      <c r="Z10" s="6">
        <f t="shared" si="2"/>
        <v>1.5237925503475318</v>
      </c>
      <c r="AA10" s="6">
        <v>1.6365783701704071</v>
      </c>
      <c r="AB10" s="6">
        <v>0.86609302064000904</v>
      </c>
      <c r="AC10" s="6">
        <f t="shared" si="3"/>
        <v>2.5026713908104163</v>
      </c>
      <c r="AD10" s="6">
        <v>1.7418507647149699</v>
      </c>
      <c r="AE10" s="6">
        <v>3.8660590143673721</v>
      </c>
      <c r="AF10" s="6">
        <f t="shared" si="4"/>
        <v>5.607909779082342</v>
      </c>
      <c r="AG10" s="6">
        <v>1.801166953237308</v>
      </c>
      <c r="AH10" s="6">
        <v>4.3746652760943707</v>
      </c>
      <c r="AI10" s="6">
        <f t="shared" si="5"/>
        <v>6.1758322293316787</v>
      </c>
      <c r="AJ10">
        <v>1.8926292411416441</v>
      </c>
      <c r="AK10" s="3">
        <v>198.65380215668131</v>
      </c>
      <c r="AL10">
        <v>0</v>
      </c>
      <c r="AM10">
        <v>0</v>
      </c>
      <c r="AN10">
        <v>1.510076522187263</v>
      </c>
      <c r="AO10">
        <v>127.7060156721332</v>
      </c>
      <c r="AP10">
        <v>81.923447250489659</v>
      </c>
      <c r="AQ10">
        <v>64.150029909958462</v>
      </c>
      <c r="AR10">
        <v>1.7214872352938</v>
      </c>
      <c r="AS10">
        <v>183.7096042899482</v>
      </c>
      <c r="AT10">
        <v>65.033433528131653</v>
      </c>
      <c r="AU10">
        <v>35.400127162371767</v>
      </c>
      <c r="AV10">
        <v>2.239946841244663</v>
      </c>
      <c r="AW10">
        <v>175.0685635331682</v>
      </c>
      <c r="AX10">
        <v>130.27843343627649</v>
      </c>
      <c r="AY10">
        <v>74.415663673160921</v>
      </c>
      <c r="AZ10">
        <v>5.5685869465802034</v>
      </c>
      <c r="BA10">
        <v>158.2094303518418</v>
      </c>
      <c r="BB10">
        <v>110.33984043164349</v>
      </c>
      <c r="BC10">
        <v>69.742897238337093</v>
      </c>
      <c r="BD10">
        <v>5.8819158401995457</v>
      </c>
      <c r="BE10">
        <v>158.0596445731949</v>
      </c>
      <c r="BF10">
        <v>102.24016189889051</v>
      </c>
      <c r="BG10">
        <v>64.684544986145838</v>
      </c>
      <c r="BH10">
        <v>0.76373313708203583</v>
      </c>
      <c r="BI10">
        <v>5.7892021394164203E-2</v>
      </c>
      <c r="BJ10">
        <v>0.76482605589770136</v>
      </c>
      <c r="BK10">
        <v>6.3886137211643101E-2</v>
      </c>
      <c r="BL10">
        <v>0.76748839713747907</v>
      </c>
      <c r="BM10">
        <v>8.1460033742521504E-2</v>
      </c>
      <c r="BN10">
        <v>0.73143031278121029</v>
      </c>
      <c r="BO10">
        <v>0.10902262914821061</v>
      </c>
      <c r="BP10">
        <v>0.64832173835839557</v>
      </c>
      <c r="BQ10">
        <v>0.13044326137236481</v>
      </c>
      <c r="BR10">
        <v>0.64742378539171563</v>
      </c>
      <c r="BS10">
        <v>0.13089212276684151</v>
      </c>
    </row>
    <row r="11" spans="1:71" x14ac:dyDescent="0.3">
      <c r="A11" t="s">
        <v>135</v>
      </c>
      <c r="B11" t="s">
        <v>66</v>
      </c>
      <c r="C11" t="s">
        <v>136</v>
      </c>
      <c r="D11" t="s">
        <v>114</v>
      </c>
      <c r="E11" s="2">
        <v>42891</v>
      </c>
      <c r="F11" s="2">
        <v>0.53333333333284827</v>
      </c>
      <c r="G11">
        <v>99</v>
      </c>
      <c r="H11" s="2">
        <v>42919</v>
      </c>
      <c r="I11" s="2">
        <v>0.38333333333503111</v>
      </c>
      <c r="J11" t="s">
        <v>137</v>
      </c>
      <c r="K11">
        <v>102</v>
      </c>
      <c r="L11" t="s">
        <v>138</v>
      </c>
      <c r="M11" t="s">
        <v>123</v>
      </c>
      <c r="N11" t="s">
        <v>139</v>
      </c>
      <c r="O11" t="s">
        <v>140</v>
      </c>
      <c r="P11" t="s">
        <v>141</v>
      </c>
      <c r="R11">
        <v>1.778808971384378</v>
      </c>
      <c r="S11">
        <v>0</v>
      </c>
      <c r="T11" s="6">
        <f t="shared" si="0"/>
        <v>1.778808971384378</v>
      </c>
      <c r="U11" s="6">
        <v>1.2193139326938709</v>
      </c>
      <c r="V11" s="6">
        <v>0</v>
      </c>
      <c r="W11" s="6">
        <f t="shared" si="1"/>
        <v>1.2193139326938709</v>
      </c>
      <c r="X11" s="6">
        <v>2.890534392006423</v>
      </c>
      <c r="Y11" s="6">
        <v>0</v>
      </c>
      <c r="Z11" s="6">
        <f t="shared" si="2"/>
        <v>2.890534392006423</v>
      </c>
      <c r="AA11" s="6">
        <v>3.858900185362018</v>
      </c>
      <c r="AB11" s="6">
        <v>6.7404370049991585E-2</v>
      </c>
      <c r="AC11" s="6">
        <f t="shared" si="3"/>
        <v>3.9263045554120097</v>
      </c>
      <c r="AD11" s="6">
        <v>4.8081011092644843</v>
      </c>
      <c r="AE11" s="6">
        <v>4.6380396552390533E-2</v>
      </c>
      <c r="AF11" s="6">
        <f t="shared" si="4"/>
        <v>4.8544815058168744</v>
      </c>
      <c r="AG11" s="6">
        <v>4.8817610417430028</v>
      </c>
      <c r="AH11" s="6">
        <v>0.13810986780912651</v>
      </c>
      <c r="AI11" s="6">
        <f t="shared" si="5"/>
        <v>5.0198709095521297</v>
      </c>
      <c r="AJ11">
        <v>0.46309013347081768</v>
      </c>
      <c r="AK11" s="3">
        <v>239.42961489082589</v>
      </c>
      <c r="AL11">
        <v>136.33790806821389</v>
      </c>
      <c r="AM11">
        <v>56.942792198191817</v>
      </c>
      <c r="AN11">
        <v>0.35531212286752611</v>
      </c>
      <c r="AO11">
        <v>266.50470519593722</v>
      </c>
      <c r="AP11">
        <v>203.63313443987749</v>
      </c>
      <c r="AQ11">
        <v>76.408832740931985</v>
      </c>
      <c r="AR11">
        <v>0.79073097889093769</v>
      </c>
      <c r="AS11">
        <v>150.27618774499041</v>
      </c>
      <c r="AT11">
        <v>99.790792077917615</v>
      </c>
      <c r="AU11">
        <v>66.404926539164379</v>
      </c>
      <c r="AV11">
        <v>1.34037268445573</v>
      </c>
      <c r="AW11">
        <v>164.82366441973491</v>
      </c>
      <c r="AX11">
        <v>120.0149500164086</v>
      </c>
      <c r="AY11">
        <v>72.814149860654851</v>
      </c>
      <c r="AZ11">
        <v>1.806339154159289</v>
      </c>
      <c r="BA11">
        <v>148.1471807371498</v>
      </c>
      <c r="BB11">
        <v>105.3487426342458</v>
      </c>
      <c r="BC11">
        <v>71.110865633792159</v>
      </c>
      <c r="BD11">
        <v>2.0491019322021109</v>
      </c>
      <c r="BE11">
        <v>171.47331994699601</v>
      </c>
      <c r="BF11">
        <v>137.56847268018419</v>
      </c>
      <c r="BG11">
        <v>80.227333746560646</v>
      </c>
      <c r="BH11">
        <v>0.68235444868493023</v>
      </c>
      <c r="BI11">
        <v>0.17712596195576691</v>
      </c>
      <c r="BJ11">
        <v>0.63479074791904211</v>
      </c>
      <c r="BK11">
        <v>0.1867047648353706</v>
      </c>
      <c r="BL11">
        <v>0.74007926672753888</v>
      </c>
      <c r="BM11">
        <v>0.1883153013651877</v>
      </c>
      <c r="BN11">
        <v>0.77875935289253673</v>
      </c>
      <c r="BO11">
        <v>0.16332869513968781</v>
      </c>
      <c r="BP11">
        <v>0.79807437526939085</v>
      </c>
      <c r="BQ11">
        <v>0.1383317795406854</v>
      </c>
      <c r="BR11">
        <v>0.79797654356007774</v>
      </c>
      <c r="BS11">
        <v>0.13258032134805739</v>
      </c>
    </row>
    <row r="12" spans="1:71" x14ac:dyDescent="0.3">
      <c r="A12" t="s">
        <v>135</v>
      </c>
      <c r="B12" t="s">
        <v>76</v>
      </c>
      <c r="C12" t="s">
        <v>142</v>
      </c>
      <c r="D12" t="s">
        <v>143</v>
      </c>
      <c r="E12" s="2">
        <v>42891</v>
      </c>
      <c r="F12" s="2">
        <v>0.57013888888832298</v>
      </c>
      <c r="G12">
        <v>97</v>
      </c>
      <c r="H12" s="2">
        <v>42919</v>
      </c>
      <c r="I12" s="2">
        <v>0.40347222222044371</v>
      </c>
      <c r="J12" t="s">
        <v>144</v>
      </c>
      <c r="K12">
        <v>112</v>
      </c>
      <c r="L12" t="s">
        <v>145</v>
      </c>
      <c r="M12" t="s">
        <v>146</v>
      </c>
      <c r="N12" t="s">
        <v>147</v>
      </c>
      <c r="O12" t="s">
        <v>148</v>
      </c>
      <c r="R12">
        <v>1.778808971384378</v>
      </c>
      <c r="S12">
        <v>0</v>
      </c>
      <c r="T12" s="6">
        <f t="shared" si="0"/>
        <v>1.778808971384378</v>
      </c>
      <c r="U12" s="6">
        <v>1.2193139326938709</v>
      </c>
      <c r="V12" s="6">
        <v>0</v>
      </c>
      <c r="W12" s="6">
        <f t="shared" si="1"/>
        <v>1.2193139326938709</v>
      </c>
      <c r="X12" s="6">
        <v>2.890534392006423</v>
      </c>
      <c r="Y12" s="6">
        <v>0</v>
      </c>
      <c r="Z12" s="6">
        <f t="shared" si="2"/>
        <v>2.890534392006423</v>
      </c>
      <c r="AA12" s="6">
        <v>3.858900185362018</v>
      </c>
      <c r="AB12" s="6">
        <v>6.7404370049991585E-2</v>
      </c>
      <c r="AC12" s="6">
        <f t="shared" si="3"/>
        <v>3.9263045554120097</v>
      </c>
      <c r="AD12" s="6">
        <v>4.8081011092644843</v>
      </c>
      <c r="AE12" s="6">
        <v>4.6380396552390533E-2</v>
      </c>
      <c r="AF12" s="6">
        <f t="shared" si="4"/>
        <v>4.8544815058168744</v>
      </c>
      <c r="AG12" s="6">
        <v>4.8817610417430028</v>
      </c>
      <c r="AH12" s="6">
        <v>0.13810986780912651</v>
      </c>
      <c r="AI12" s="6">
        <f t="shared" si="5"/>
        <v>5.0198709095521297</v>
      </c>
      <c r="AJ12">
        <v>0.46309013347081768</v>
      </c>
      <c r="AK12" s="3">
        <v>239.42961489082589</v>
      </c>
      <c r="AL12">
        <v>136.33790806821389</v>
      </c>
      <c r="AM12">
        <v>56.942792198191817</v>
      </c>
      <c r="AN12">
        <v>0.35531212286752611</v>
      </c>
      <c r="AO12">
        <v>266.50470519593722</v>
      </c>
      <c r="AP12">
        <v>203.63313443987749</v>
      </c>
      <c r="AQ12">
        <v>76.408832740931985</v>
      </c>
      <c r="AR12">
        <v>0.79073097889093769</v>
      </c>
      <c r="AS12">
        <v>150.27618774499041</v>
      </c>
      <c r="AT12">
        <v>99.790792077917615</v>
      </c>
      <c r="AU12">
        <v>66.404926539164379</v>
      </c>
      <c r="AV12">
        <v>1.34037268445573</v>
      </c>
      <c r="AW12">
        <v>164.82366441973491</v>
      </c>
      <c r="AX12">
        <v>120.0149500164086</v>
      </c>
      <c r="AY12">
        <v>72.814149860654851</v>
      </c>
      <c r="AZ12">
        <v>1.806339154159289</v>
      </c>
      <c r="BA12">
        <v>148.1471807371498</v>
      </c>
      <c r="BB12">
        <v>105.3487426342458</v>
      </c>
      <c r="BC12">
        <v>71.110865633792159</v>
      </c>
      <c r="BD12">
        <v>2.0491019322021109</v>
      </c>
      <c r="BE12">
        <v>171.47331994699601</v>
      </c>
      <c r="BF12">
        <v>137.56847268018419</v>
      </c>
      <c r="BG12">
        <v>80.227333746560646</v>
      </c>
      <c r="BH12">
        <v>0.68235444868493023</v>
      </c>
      <c r="BI12">
        <v>0.17712596195576691</v>
      </c>
      <c r="BJ12">
        <v>0.63479074791904211</v>
      </c>
      <c r="BK12">
        <v>0.1867047648353706</v>
      </c>
      <c r="BL12">
        <v>0.74007926672753888</v>
      </c>
      <c r="BM12">
        <v>0.1883153013651877</v>
      </c>
      <c r="BN12">
        <v>0.77875935289253673</v>
      </c>
      <c r="BO12">
        <v>0.16332869513968781</v>
      </c>
      <c r="BP12">
        <v>0.79807437526939085</v>
      </c>
      <c r="BQ12">
        <v>0.1383317795406854</v>
      </c>
      <c r="BR12">
        <v>0.79797654356007774</v>
      </c>
      <c r="BS12">
        <v>0.13258032134805739</v>
      </c>
    </row>
    <row r="13" spans="1:71" x14ac:dyDescent="0.3">
      <c r="A13" t="s">
        <v>135</v>
      </c>
      <c r="B13" t="s">
        <v>83</v>
      </c>
      <c r="C13" t="s">
        <v>149</v>
      </c>
      <c r="D13" t="s">
        <v>121</v>
      </c>
      <c r="E13" s="2">
        <v>42891</v>
      </c>
      <c r="F13" s="2">
        <v>0.39513888888905058</v>
      </c>
      <c r="G13">
        <v>99</v>
      </c>
      <c r="H13" s="2">
        <v>42919</v>
      </c>
      <c r="I13" s="2">
        <v>0.40833333333284833</v>
      </c>
      <c r="J13" t="s">
        <v>150</v>
      </c>
      <c r="K13">
        <v>114</v>
      </c>
      <c r="L13" t="s">
        <v>70</v>
      </c>
      <c r="M13" t="s">
        <v>71</v>
      </c>
      <c r="N13" t="s">
        <v>151</v>
      </c>
      <c r="O13" t="s">
        <v>152</v>
      </c>
      <c r="P13" t="s">
        <v>153</v>
      </c>
      <c r="R13">
        <v>1.778808971384378</v>
      </c>
      <c r="S13">
        <v>0</v>
      </c>
      <c r="T13" s="6">
        <f t="shared" si="0"/>
        <v>1.778808971384378</v>
      </c>
      <c r="U13" s="6">
        <v>1.2193139326938709</v>
      </c>
      <c r="V13" s="6">
        <v>0</v>
      </c>
      <c r="W13" s="6">
        <f t="shared" si="1"/>
        <v>1.2193139326938709</v>
      </c>
      <c r="X13" s="6">
        <v>2.890534392006423</v>
      </c>
      <c r="Y13" s="6">
        <v>0</v>
      </c>
      <c r="Z13" s="6">
        <f t="shared" si="2"/>
        <v>2.890534392006423</v>
      </c>
      <c r="AA13" s="6">
        <v>3.858900185362018</v>
      </c>
      <c r="AB13" s="6">
        <v>6.7404370049991585E-2</v>
      </c>
      <c r="AC13" s="6">
        <f t="shared" si="3"/>
        <v>3.9263045554120097</v>
      </c>
      <c r="AD13" s="6">
        <v>4.8081011092644843</v>
      </c>
      <c r="AE13" s="6">
        <v>4.6380396552390533E-2</v>
      </c>
      <c r="AF13" s="6">
        <f t="shared" si="4"/>
        <v>4.8544815058168744</v>
      </c>
      <c r="AG13" s="6">
        <v>4.8817610417430028</v>
      </c>
      <c r="AH13" s="6">
        <v>0.13810986780912651</v>
      </c>
      <c r="AI13" s="6">
        <f t="shared" si="5"/>
        <v>5.0198709095521297</v>
      </c>
      <c r="AJ13">
        <v>0.46309013347081768</v>
      </c>
      <c r="AK13" s="3">
        <v>239.42961489082589</v>
      </c>
      <c r="AL13">
        <v>136.33790806821389</v>
      </c>
      <c r="AM13">
        <v>56.942792198191817</v>
      </c>
      <c r="AN13">
        <v>0.35531212286752611</v>
      </c>
      <c r="AO13">
        <v>266.50470519593722</v>
      </c>
      <c r="AP13">
        <v>203.63313443987749</v>
      </c>
      <c r="AQ13">
        <v>76.408832740931985</v>
      </c>
      <c r="AR13">
        <v>0.79073097889093769</v>
      </c>
      <c r="AS13">
        <v>150.27618774499041</v>
      </c>
      <c r="AT13">
        <v>99.790792077917615</v>
      </c>
      <c r="AU13">
        <v>66.404926539164379</v>
      </c>
      <c r="AV13">
        <v>1.34037268445573</v>
      </c>
      <c r="AW13">
        <v>164.82366441973491</v>
      </c>
      <c r="AX13">
        <v>120.0149500164086</v>
      </c>
      <c r="AY13">
        <v>72.814149860654851</v>
      </c>
      <c r="AZ13">
        <v>1.806339154159289</v>
      </c>
      <c r="BA13">
        <v>148.1471807371498</v>
      </c>
      <c r="BB13">
        <v>105.3487426342458</v>
      </c>
      <c r="BC13">
        <v>71.110865633792159</v>
      </c>
      <c r="BD13">
        <v>2.0491019322021109</v>
      </c>
      <c r="BE13">
        <v>171.47331994699601</v>
      </c>
      <c r="BF13">
        <v>137.56847268018419</v>
      </c>
      <c r="BG13">
        <v>80.227333746560646</v>
      </c>
      <c r="BH13">
        <v>0.68235444868493023</v>
      </c>
      <c r="BI13">
        <v>0.17712596195576691</v>
      </c>
      <c r="BJ13">
        <v>0.63479074791904211</v>
      </c>
      <c r="BK13">
        <v>0.1867047648353706</v>
      </c>
      <c r="BL13">
        <v>0.74007926672753888</v>
      </c>
      <c r="BM13">
        <v>0.1883153013651877</v>
      </c>
      <c r="BN13">
        <v>0.77875935289253673</v>
      </c>
      <c r="BO13">
        <v>0.16332869513968781</v>
      </c>
      <c r="BP13">
        <v>0.79807437526939085</v>
      </c>
      <c r="BQ13">
        <v>0.1383317795406854</v>
      </c>
      <c r="BR13">
        <v>0.79797654356007774</v>
      </c>
      <c r="BS13">
        <v>0.13258032134805739</v>
      </c>
    </row>
    <row r="14" spans="1:71" x14ac:dyDescent="0.3">
      <c r="A14" t="s">
        <v>154</v>
      </c>
      <c r="B14" t="s">
        <v>66</v>
      </c>
      <c r="C14" t="s">
        <v>155</v>
      </c>
      <c r="D14" t="s">
        <v>103</v>
      </c>
      <c r="E14" s="2">
        <v>43223</v>
      </c>
      <c r="F14" s="2">
        <v>0.37152777777737361</v>
      </c>
      <c r="G14">
        <v>97</v>
      </c>
      <c r="H14" s="2">
        <v>43263</v>
      </c>
      <c r="I14" s="2">
        <v>0.67916666666496894</v>
      </c>
      <c r="J14" t="s">
        <v>156</v>
      </c>
      <c r="K14">
        <v>118</v>
      </c>
      <c r="L14" t="s">
        <v>157</v>
      </c>
      <c r="M14" t="s">
        <v>158</v>
      </c>
      <c r="N14" t="s">
        <v>159</v>
      </c>
      <c r="O14" t="s">
        <v>160</v>
      </c>
      <c r="P14" t="s">
        <v>161</v>
      </c>
      <c r="Q14" t="s">
        <v>162</v>
      </c>
      <c r="R14">
        <v>9.7504798464491369</v>
      </c>
      <c r="S14">
        <v>1.612284069097889</v>
      </c>
      <c r="T14" s="6">
        <f t="shared" si="0"/>
        <v>11.362763915547026</v>
      </c>
      <c r="U14" s="6">
        <v>11.042345276872959</v>
      </c>
      <c r="V14" s="6">
        <v>0.68403908794788271</v>
      </c>
      <c r="W14" s="6">
        <f t="shared" si="1"/>
        <v>11.726384364820841</v>
      </c>
      <c r="X14" s="6">
        <v>13.26630483139069</v>
      </c>
      <c r="Y14" s="6">
        <v>0.48046979268618201</v>
      </c>
      <c r="Z14" s="6">
        <f t="shared" si="2"/>
        <v>13.746774624076872</v>
      </c>
      <c r="AA14" s="6">
        <v>13.78030260419596</v>
      </c>
      <c r="AB14" s="6">
        <v>0.35997525170144551</v>
      </c>
      <c r="AC14" s="6">
        <f t="shared" si="3"/>
        <v>14.140277855897406</v>
      </c>
      <c r="AD14" s="6">
        <v>16.33472286552416</v>
      </c>
      <c r="AE14" s="6">
        <v>0.49019607843137247</v>
      </c>
      <c r="AF14" s="6">
        <f t="shared" si="4"/>
        <v>16.824918943955531</v>
      </c>
      <c r="AG14" s="6">
        <v>15.91440895379324</v>
      </c>
      <c r="AH14" s="6">
        <v>0.36085816582560398</v>
      </c>
      <c r="AI14" s="6">
        <f t="shared" si="5"/>
        <v>16.275267119618842</v>
      </c>
      <c r="AJ14">
        <v>4.7678149393853344</v>
      </c>
      <c r="AK14" s="3">
        <v>219.38460825669779</v>
      </c>
      <c r="AL14">
        <v>222.1910795137612</v>
      </c>
      <c r="AM14">
        <v>101.2792471082473</v>
      </c>
      <c r="AN14">
        <v>5.7986938451990886</v>
      </c>
      <c r="AO14">
        <v>173.78455042117011</v>
      </c>
      <c r="AP14">
        <v>163.84845583856321</v>
      </c>
      <c r="AQ14">
        <v>94.282521341208607</v>
      </c>
      <c r="AR14">
        <v>6.5447246323011026</v>
      </c>
      <c r="AS14">
        <v>130.12301961175811</v>
      </c>
      <c r="AT14">
        <v>91.848907612544338</v>
      </c>
      <c r="AU14">
        <v>70.586209793309109</v>
      </c>
      <c r="AV14">
        <v>5.6241961137469003</v>
      </c>
      <c r="AW14">
        <v>130.74827923160689</v>
      </c>
      <c r="AX14">
        <v>78.946308961941369</v>
      </c>
      <c r="AY14">
        <v>60.380380855411687</v>
      </c>
      <c r="AZ14">
        <v>8.1642462762342642</v>
      </c>
      <c r="BA14">
        <v>130.73969347730821</v>
      </c>
      <c r="BB14">
        <v>107.5654732745556</v>
      </c>
      <c r="BC14">
        <v>82.274533780534838</v>
      </c>
      <c r="BD14">
        <v>7.8803812543158784</v>
      </c>
      <c r="BE14">
        <v>137.032216530515</v>
      </c>
      <c r="BF14">
        <v>96.409529968361113</v>
      </c>
      <c r="BG14">
        <v>70.355375114940344</v>
      </c>
      <c r="BH14">
        <v>0.78603006096075667</v>
      </c>
      <c r="BI14">
        <v>6.2936560393948696E-2</v>
      </c>
      <c r="BJ14">
        <v>0.79453036594426218</v>
      </c>
      <c r="BK14">
        <v>6.2043614973135097E-2</v>
      </c>
      <c r="BL14">
        <v>0.78587558201384766</v>
      </c>
      <c r="BM14">
        <v>7.1831779349271693E-2</v>
      </c>
      <c r="BN14">
        <v>0.77986001403689387</v>
      </c>
      <c r="BO14">
        <v>7.59927998254845E-2</v>
      </c>
      <c r="BP14">
        <v>0.79245331139664543</v>
      </c>
      <c r="BQ14">
        <v>8.5340669994295695E-2</v>
      </c>
      <c r="BR14">
        <v>0.79507342103381451</v>
      </c>
      <c r="BS14">
        <v>8.5399461696073195E-2</v>
      </c>
    </row>
    <row r="15" spans="1:71" x14ac:dyDescent="0.3">
      <c r="A15" t="s">
        <v>154</v>
      </c>
      <c r="B15" t="s">
        <v>76</v>
      </c>
      <c r="C15" t="s">
        <v>163</v>
      </c>
      <c r="D15" t="s">
        <v>164</v>
      </c>
      <c r="E15" s="2">
        <v>43223</v>
      </c>
      <c r="F15" s="2">
        <v>0.46319444444452529</v>
      </c>
      <c r="G15">
        <v>94</v>
      </c>
      <c r="H15" s="2">
        <v>43263</v>
      </c>
      <c r="I15" s="2">
        <v>0.70763888888905058</v>
      </c>
      <c r="J15" t="s">
        <v>165</v>
      </c>
      <c r="K15">
        <v>1971</v>
      </c>
      <c r="L15" t="s">
        <v>70</v>
      </c>
      <c r="M15" t="s">
        <v>166</v>
      </c>
      <c r="N15" t="s">
        <v>167</v>
      </c>
      <c r="O15" t="s">
        <v>168</v>
      </c>
      <c r="P15" t="s">
        <v>169</v>
      </c>
      <c r="Q15" t="s">
        <v>170</v>
      </c>
      <c r="R15">
        <v>9.7504798464491369</v>
      </c>
      <c r="S15">
        <v>1.612284069097889</v>
      </c>
      <c r="T15" s="6">
        <f t="shared" si="0"/>
        <v>11.362763915547026</v>
      </c>
      <c r="U15" s="6">
        <v>11.042345276872959</v>
      </c>
      <c r="V15" s="6">
        <v>0.68403908794788271</v>
      </c>
      <c r="W15" s="6">
        <f t="shared" si="1"/>
        <v>11.726384364820841</v>
      </c>
      <c r="X15" s="6">
        <v>13.26630483139069</v>
      </c>
      <c r="Y15" s="6">
        <v>0.48046979268618201</v>
      </c>
      <c r="Z15" s="6">
        <f t="shared" si="2"/>
        <v>13.746774624076872</v>
      </c>
      <c r="AA15" s="6">
        <v>13.78030260419596</v>
      </c>
      <c r="AB15" s="6">
        <v>0.35997525170144551</v>
      </c>
      <c r="AC15" s="6">
        <f t="shared" si="3"/>
        <v>14.140277855897406</v>
      </c>
      <c r="AD15" s="6">
        <v>16.33472286552416</v>
      </c>
      <c r="AE15" s="6">
        <v>0.49019607843137247</v>
      </c>
      <c r="AF15" s="6">
        <f t="shared" si="4"/>
        <v>16.824918943955531</v>
      </c>
      <c r="AG15" s="6">
        <v>15.91440895379324</v>
      </c>
      <c r="AH15" s="6">
        <v>0.36085816582560398</v>
      </c>
      <c r="AI15" s="6">
        <f t="shared" si="5"/>
        <v>16.275267119618842</v>
      </c>
      <c r="AJ15">
        <v>4.7678149393853344</v>
      </c>
      <c r="AK15" s="3">
        <v>219.38460825669779</v>
      </c>
      <c r="AL15">
        <v>222.1910795137612</v>
      </c>
      <c r="AM15">
        <v>101.2792471082473</v>
      </c>
      <c r="AN15">
        <v>5.7986938451990886</v>
      </c>
      <c r="AO15">
        <v>173.78455042117011</v>
      </c>
      <c r="AP15">
        <v>163.84845583856321</v>
      </c>
      <c r="AQ15">
        <v>94.282521341208607</v>
      </c>
      <c r="AR15">
        <v>6.5447246323011026</v>
      </c>
      <c r="AS15">
        <v>130.12301961175811</v>
      </c>
      <c r="AT15">
        <v>91.848907612544338</v>
      </c>
      <c r="AU15">
        <v>70.586209793309109</v>
      </c>
      <c r="AV15">
        <v>5.6241961137469003</v>
      </c>
      <c r="AW15">
        <v>130.74827923160689</v>
      </c>
      <c r="AX15">
        <v>78.946308961941369</v>
      </c>
      <c r="AY15">
        <v>60.380380855411687</v>
      </c>
      <c r="AZ15">
        <v>8.1642462762342642</v>
      </c>
      <c r="BA15">
        <v>130.73969347730821</v>
      </c>
      <c r="BB15">
        <v>107.5654732745556</v>
      </c>
      <c r="BC15">
        <v>82.274533780534838</v>
      </c>
      <c r="BD15">
        <v>7.8803812543158784</v>
      </c>
      <c r="BE15">
        <v>137.032216530515</v>
      </c>
      <c r="BF15">
        <v>96.409529968361113</v>
      </c>
      <c r="BG15">
        <v>70.355375114940344</v>
      </c>
      <c r="BH15">
        <v>0.78603006096075667</v>
      </c>
      <c r="BI15">
        <v>6.2936560393948696E-2</v>
      </c>
      <c r="BJ15">
        <v>0.79453036594426218</v>
      </c>
      <c r="BK15">
        <v>6.2043614973135097E-2</v>
      </c>
      <c r="BL15">
        <v>0.78587558201384766</v>
      </c>
      <c r="BM15">
        <v>7.1831779349271693E-2</v>
      </c>
      <c r="BN15">
        <v>0.77986001403689387</v>
      </c>
      <c r="BO15">
        <v>7.59927998254845E-2</v>
      </c>
      <c r="BP15">
        <v>0.79245331139664543</v>
      </c>
      <c r="BQ15">
        <v>8.5340669994295695E-2</v>
      </c>
      <c r="BR15">
        <v>0.79507342103381451</v>
      </c>
      <c r="BS15">
        <v>8.5399461696073195E-2</v>
      </c>
    </row>
    <row r="16" spans="1:71" x14ac:dyDescent="0.3">
      <c r="A16" t="s">
        <v>154</v>
      </c>
      <c r="B16" t="s">
        <v>83</v>
      </c>
      <c r="C16" t="s">
        <v>149</v>
      </c>
      <c r="D16" t="s">
        <v>108</v>
      </c>
      <c r="E16" s="2">
        <v>43223</v>
      </c>
      <c r="F16" s="2">
        <v>0.60416666666787933</v>
      </c>
      <c r="G16">
        <v>95</v>
      </c>
      <c r="H16" s="2">
        <v>43263</v>
      </c>
      <c r="I16" s="2">
        <v>0.6881944444430701</v>
      </c>
      <c r="J16" t="s">
        <v>156</v>
      </c>
      <c r="K16">
        <v>238</v>
      </c>
      <c r="L16" t="s">
        <v>157</v>
      </c>
      <c r="M16" t="s">
        <v>166</v>
      </c>
      <c r="N16" t="s">
        <v>171</v>
      </c>
      <c r="O16" t="s">
        <v>172</v>
      </c>
      <c r="P16" t="s">
        <v>173</v>
      </c>
      <c r="R16">
        <v>9.7504798464491369</v>
      </c>
      <c r="S16">
        <v>1.612284069097889</v>
      </c>
      <c r="T16" s="6">
        <f t="shared" si="0"/>
        <v>11.362763915547026</v>
      </c>
      <c r="U16" s="6">
        <v>11.042345276872959</v>
      </c>
      <c r="V16" s="6">
        <v>0.68403908794788271</v>
      </c>
      <c r="W16" s="6">
        <f t="shared" si="1"/>
        <v>11.726384364820841</v>
      </c>
      <c r="X16" s="6">
        <v>13.26630483139069</v>
      </c>
      <c r="Y16" s="6">
        <v>0.48046979268618201</v>
      </c>
      <c r="Z16" s="6">
        <f t="shared" si="2"/>
        <v>13.746774624076872</v>
      </c>
      <c r="AA16" s="6">
        <v>13.78030260419596</v>
      </c>
      <c r="AB16" s="6">
        <v>0.35997525170144551</v>
      </c>
      <c r="AC16" s="6">
        <f t="shared" si="3"/>
        <v>14.140277855897406</v>
      </c>
      <c r="AD16" s="6">
        <v>16.33472286552416</v>
      </c>
      <c r="AE16" s="6">
        <v>0.49019607843137247</v>
      </c>
      <c r="AF16" s="6">
        <f t="shared" si="4"/>
        <v>16.824918943955531</v>
      </c>
      <c r="AG16" s="6">
        <v>15.91440895379324</v>
      </c>
      <c r="AH16" s="6">
        <v>0.36085816582560398</v>
      </c>
      <c r="AI16" s="6">
        <f t="shared" si="5"/>
        <v>16.275267119618842</v>
      </c>
      <c r="AJ16">
        <v>4.7678149393853344</v>
      </c>
      <c r="AK16" s="3">
        <v>219.38460825669779</v>
      </c>
      <c r="AL16">
        <v>222.1910795137612</v>
      </c>
      <c r="AM16">
        <v>101.2792471082473</v>
      </c>
      <c r="AN16">
        <v>5.7986938451990886</v>
      </c>
      <c r="AO16">
        <v>173.78455042117011</v>
      </c>
      <c r="AP16">
        <v>163.84845583856321</v>
      </c>
      <c r="AQ16">
        <v>94.282521341208607</v>
      </c>
      <c r="AR16">
        <v>6.5447246323011026</v>
      </c>
      <c r="AS16">
        <v>130.12301961175811</v>
      </c>
      <c r="AT16">
        <v>91.848907612544338</v>
      </c>
      <c r="AU16">
        <v>70.586209793309109</v>
      </c>
      <c r="AV16">
        <v>5.6241961137469003</v>
      </c>
      <c r="AW16">
        <v>130.74827923160689</v>
      </c>
      <c r="AX16">
        <v>78.946308961941369</v>
      </c>
      <c r="AY16">
        <v>60.380380855411687</v>
      </c>
      <c r="AZ16">
        <v>8.1642462762342642</v>
      </c>
      <c r="BA16">
        <v>130.73969347730821</v>
      </c>
      <c r="BB16">
        <v>107.5654732745556</v>
      </c>
      <c r="BC16">
        <v>82.274533780534838</v>
      </c>
      <c r="BD16">
        <v>7.8803812543158784</v>
      </c>
      <c r="BE16">
        <v>137.032216530515</v>
      </c>
      <c r="BF16">
        <v>96.409529968361113</v>
      </c>
      <c r="BG16">
        <v>70.355375114940344</v>
      </c>
      <c r="BH16">
        <v>0.78603006096075667</v>
      </c>
      <c r="BI16">
        <v>6.2936560393948696E-2</v>
      </c>
      <c r="BJ16">
        <v>0.79453036594426218</v>
      </c>
      <c r="BK16">
        <v>6.2043614973135097E-2</v>
      </c>
      <c r="BL16">
        <v>0.78587558201384766</v>
      </c>
      <c r="BM16">
        <v>7.1831779349271693E-2</v>
      </c>
      <c r="BN16">
        <v>0.77986001403689387</v>
      </c>
      <c r="BO16">
        <v>7.59927998254845E-2</v>
      </c>
      <c r="BP16">
        <v>0.79245331139664543</v>
      </c>
      <c r="BQ16">
        <v>8.5340669994295695E-2</v>
      </c>
      <c r="BR16">
        <v>0.79507342103381451</v>
      </c>
      <c r="BS16">
        <v>8.5399461696073195E-2</v>
      </c>
    </row>
    <row r="17" spans="1:71" x14ac:dyDescent="0.3">
      <c r="A17" t="s">
        <v>174</v>
      </c>
      <c r="B17" t="s">
        <v>66</v>
      </c>
      <c r="C17" t="s">
        <v>175</v>
      </c>
      <c r="D17" t="s">
        <v>176</v>
      </c>
      <c r="E17" s="2">
        <v>43195</v>
      </c>
      <c r="F17" s="2">
        <v>0.45763888888905058</v>
      </c>
      <c r="G17">
        <v>99</v>
      </c>
      <c r="H17" s="2">
        <v>43228</v>
      </c>
      <c r="I17" s="2">
        <v>0.6749999999992724</v>
      </c>
      <c r="J17" t="s">
        <v>115</v>
      </c>
      <c r="K17">
        <v>168</v>
      </c>
      <c r="L17" t="s">
        <v>177</v>
      </c>
      <c r="M17" t="s">
        <v>178</v>
      </c>
      <c r="N17" t="s">
        <v>179</v>
      </c>
      <c r="O17" t="s">
        <v>180</v>
      </c>
      <c r="P17" t="s">
        <v>181</v>
      </c>
      <c r="Q17" t="s">
        <v>170</v>
      </c>
      <c r="R17">
        <v>10.238645111624329</v>
      </c>
      <c r="S17">
        <v>0</v>
      </c>
      <c r="T17" s="6">
        <f t="shared" si="0"/>
        <v>10.238645111624329</v>
      </c>
      <c r="U17" s="6">
        <v>20.773103784310539</v>
      </c>
      <c r="V17" s="6">
        <v>0</v>
      </c>
      <c r="W17" s="6">
        <f t="shared" si="1"/>
        <v>20.773103784310539</v>
      </c>
      <c r="X17" s="6">
        <v>18.572955638695881</v>
      </c>
      <c r="Y17" s="6">
        <v>0</v>
      </c>
      <c r="Z17" s="6">
        <f t="shared" si="2"/>
        <v>18.572955638695881</v>
      </c>
      <c r="AA17" s="6">
        <v>15.437334981180831</v>
      </c>
      <c r="AB17" s="6">
        <v>0</v>
      </c>
      <c r="AC17" s="6">
        <f t="shared" si="3"/>
        <v>15.437334981180831</v>
      </c>
      <c r="AD17" s="6">
        <v>13.322775030902349</v>
      </c>
      <c r="AE17" s="6">
        <v>0</v>
      </c>
      <c r="AF17" s="6">
        <f t="shared" si="4"/>
        <v>13.322775030902349</v>
      </c>
      <c r="AG17" s="6">
        <v>12.82477596798738</v>
      </c>
      <c r="AH17" s="6">
        <v>0</v>
      </c>
      <c r="AI17" s="6">
        <f t="shared" si="5"/>
        <v>12.82477596798738</v>
      </c>
      <c r="AJ17">
        <v>1.9475411146756989</v>
      </c>
      <c r="AK17" s="3">
        <v>120.1747123598868</v>
      </c>
      <c r="AL17">
        <v>62.658170504282118</v>
      </c>
      <c r="AM17">
        <v>52.139230686602289</v>
      </c>
      <c r="AN17">
        <v>5.42143964035699</v>
      </c>
      <c r="AO17">
        <v>120.7601111042926</v>
      </c>
      <c r="AP17">
        <v>42.812226732110361</v>
      </c>
      <c r="AQ17">
        <v>35.452291605740768</v>
      </c>
      <c r="AR17">
        <v>5.0885002808259054</v>
      </c>
      <c r="AS17">
        <v>115.2129031895108</v>
      </c>
      <c r="AT17">
        <v>71.846799619475291</v>
      </c>
      <c r="AU17">
        <v>62.360028807968092</v>
      </c>
      <c r="AV17">
        <v>4.0984595387363862</v>
      </c>
      <c r="AW17">
        <v>126.48057201372519</v>
      </c>
      <c r="AX17">
        <v>116.1226766124298</v>
      </c>
      <c r="AY17">
        <v>91.810682671350236</v>
      </c>
      <c r="AZ17">
        <v>3.6538553322819651</v>
      </c>
      <c r="BA17">
        <v>137.7382709341563</v>
      </c>
      <c r="BB17">
        <v>123.7321878666331</v>
      </c>
      <c r="BC17">
        <v>89.831378764571085</v>
      </c>
      <c r="BD17">
        <v>3.7375934818541938</v>
      </c>
      <c r="BE17">
        <v>149.96064668535081</v>
      </c>
      <c r="BF17">
        <v>132.34599854760961</v>
      </c>
      <c r="BG17">
        <v>88.25381956727594</v>
      </c>
      <c r="BH17">
        <v>0.81054430884878592</v>
      </c>
      <c r="BI17">
        <v>6.9941987522080903E-2</v>
      </c>
      <c r="BJ17">
        <v>0.8400829236881997</v>
      </c>
      <c r="BK17">
        <v>7.0551140835396903E-2</v>
      </c>
      <c r="BL17">
        <v>0.8404243131495106</v>
      </c>
      <c r="BM17">
        <v>7.1455166339710496E-2</v>
      </c>
      <c r="BN17">
        <v>0.83323307109266942</v>
      </c>
      <c r="BO17">
        <v>7.61350372922696E-2</v>
      </c>
      <c r="BP17">
        <v>0.8325676583940711</v>
      </c>
      <c r="BQ17">
        <v>7.78596870478164E-2</v>
      </c>
      <c r="BR17">
        <v>0.83003472758219787</v>
      </c>
      <c r="BS17">
        <v>7.9112761589027206E-2</v>
      </c>
    </row>
    <row r="18" spans="1:71" x14ac:dyDescent="0.3">
      <c r="A18" t="s">
        <v>174</v>
      </c>
      <c r="B18" t="s">
        <v>76</v>
      </c>
      <c r="C18" t="s">
        <v>182</v>
      </c>
      <c r="D18" t="s">
        <v>183</v>
      </c>
      <c r="E18" s="2">
        <v>43195</v>
      </c>
      <c r="F18" s="2">
        <v>0.56041666666715173</v>
      </c>
      <c r="G18">
        <v>99</v>
      </c>
      <c r="H18" s="2">
        <v>43228</v>
      </c>
      <c r="I18" s="2">
        <v>0.66180555555547471</v>
      </c>
      <c r="J18" t="s">
        <v>115</v>
      </c>
      <c r="K18">
        <v>191</v>
      </c>
      <c r="L18" t="s">
        <v>157</v>
      </c>
      <c r="M18" t="s">
        <v>184</v>
      </c>
      <c r="N18" t="s">
        <v>185</v>
      </c>
      <c r="O18" t="s">
        <v>186</v>
      </c>
      <c r="P18" t="s">
        <v>187</v>
      </c>
      <c r="R18">
        <v>10.238645111624329</v>
      </c>
      <c r="S18">
        <v>0</v>
      </c>
      <c r="T18" s="6">
        <f t="shared" si="0"/>
        <v>10.238645111624329</v>
      </c>
      <c r="U18" s="6">
        <v>20.773103784310539</v>
      </c>
      <c r="V18" s="6">
        <v>0</v>
      </c>
      <c r="W18" s="6">
        <f t="shared" si="1"/>
        <v>20.773103784310539</v>
      </c>
      <c r="X18" s="6">
        <v>18.572955638695881</v>
      </c>
      <c r="Y18" s="6">
        <v>0</v>
      </c>
      <c r="Z18" s="6">
        <f t="shared" si="2"/>
        <v>18.572955638695881</v>
      </c>
      <c r="AA18" s="6">
        <v>15.437334981180831</v>
      </c>
      <c r="AB18" s="6">
        <v>0</v>
      </c>
      <c r="AC18" s="6">
        <f t="shared" si="3"/>
        <v>15.437334981180831</v>
      </c>
      <c r="AD18" s="6">
        <v>13.322775030902349</v>
      </c>
      <c r="AE18" s="6">
        <v>0</v>
      </c>
      <c r="AF18" s="6">
        <f t="shared" si="4"/>
        <v>13.322775030902349</v>
      </c>
      <c r="AG18" s="6">
        <v>12.82477596798738</v>
      </c>
      <c r="AH18" s="6">
        <v>0</v>
      </c>
      <c r="AI18" s="6">
        <f t="shared" si="5"/>
        <v>12.82477596798738</v>
      </c>
      <c r="AJ18">
        <v>1.9475411146756989</v>
      </c>
      <c r="AK18" s="3">
        <v>120.1747123598868</v>
      </c>
      <c r="AL18">
        <v>62.658170504282118</v>
      </c>
      <c r="AM18">
        <v>52.139230686602289</v>
      </c>
      <c r="AN18">
        <v>5.42143964035699</v>
      </c>
      <c r="AO18">
        <v>120.7601111042926</v>
      </c>
      <c r="AP18">
        <v>42.812226732110361</v>
      </c>
      <c r="AQ18">
        <v>35.452291605740768</v>
      </c>
      <c r="AR18">
        <v>5.0885002808259054</v>
      </c>
      <c r="AS18">
        <v>115.2129031895108</v>
      </c>
      <c r="AT18">
        <v>71.846799619475291</v>
      </c>
      <c r="AU18">
        <v>62.360028807968092</v>
      </c>
      <c r="AV18">
        <v>4.0984595387363862</v>
      </c>
      <c r="AW18">
        <v>126.48057201372519</v>
      </c>
      <c r="AX18">
        <v>116.1226766124298</v>
      </c>
      <c r="AY18">
        <v>91.810682671350236</v>
      </c>
      <c r="AZ18">
        <v>3.6538553322819651</v>
      </c>
      <c r="BA18">
        <v>137.7382709341563</v>
      </c>
      <c r="BB18">
        <v>123.7321878666331</v>
      </c>
      <c r="BC18">
        <v>89.831378764571085</v>
      </c>
      <c r="BD18">
        <v>3.7375934818541938</v>
      </c>
      <c r="BE18">
        <v>149.96064668535081</v>
      </c>
      <c r="BF18">
        <v>132.34599854760961</v>
      </c>
      <c r="BG18">
        <v>88.25381956727594</v>
      </c>
      <c r="BH18">
        <v>0.81054430884878592</v>
      </c>
      <c r="BI18">
        <v>6.9941987522080903E-2</v>
      </c>
      <c r="BJ18">
        <v>0.8400829236881997</v>
      </c>
      <c r="BK18">
        <v>7.0551140835396903E-2</v>
      </c>
      <c r="BL18">
        <v>0.8404243131495106</v>
      </c>
      <c r="BM18">
        <v>7.1455166339710496E-2</v>
      </c>
      <c r="BN18">
        <v>0.83323307109266942</v>
      </c>
      <c r="BO18">
        <v>7.61350372922696E-2</v>
      </c>
      <c r="BP18">
        <v>0.8325676583940711</v>
      </c>
      <c r="BQ18">
        <v>7.78596870478164E-2</v>
      </c>
      <c r="BR18">
        <v>0.83003472758219787</v>
      </c>
      <c r="BS18">
        <v>7.9112761589027206E-2</v>
      </c>
    </row>
    <row r="19" spans="1:71" x14ac:dyDescent="0.3">
      <c r="A19" t="s">
        <v>174</v>
      </c>
      <c r="B19" t="s">
        <v>83</v>
      </c>
      <c r="C19" t="s">
        <v>136</v>
      </c>
      <c r="D19" t="s">
        <v>143</v>
      </c>
      <c r="E19" s="2">
        <v>43195</v>
      </c>
      <c r="F19" s="2">
        <v>0.64166666666642413</v>
      </c>
      <c r="G19">
        <v>99</v>
      </c>
      <c r="H19" s="2">
        <v>43228</v>
      </c>
      <c r="I19" s="2">
        <v>0.69513888888832298</v>
      </c>
      <c r="J19" t="s">
        <v>137</v>
      </c>
      <c r="K19">
        <v>177</v>
      </c>
      <c r="L19" t="s">
        <v>157</v>
      </c>
      <c r="M19" t="s">
        <v>188</v>
      </c>
      <c r="N19" t="s">
        <v>189</v>
      </c>
      <c r="O19" t="s">
        <v>190</v>
      </c>
      <c r="P19" t="s">
        <v>191</v>
      </c>
      <c r="Q19" t="s">
        <v>192</v>
      </c>
      <c r="R19">
        <v>10.238645111624329</v>
      </c>
      <c r="S19">
        <v>0</v>
      </c>
      <c r="T19" s="6">
        <f t="shared" si="0"/>
        <v>10.238645111624329</v>
      </c>
      <c r="U19" s="6">
        <v>20.773103784310539</v>
      </c>
      <c r="V19" s="6">
        <v>0</v>
      </c>
      <c r="W19" s="6">
        <f t="shared" si="1"/>
        <v>20.773103784310539</v>
      </c>
      <c r="X19" s="6">
        <v>18.572955638695881</v>
      </c>
      <c r="Y19" s="6">
        <v>0</v>
      </c>
      <c r="Z19" s="6">
        <f t="shared" si="2"/>
        <v>18.572955638695881</v>
      </c>
      <c r="AA19" s="6">
        <v>15.437334981180831</v>
      </c>
      <c r="AB19" s="6">
        <v>0</v>
      </c>
      <c r="AC19" s="6">
        <f t="shared" si="3"/>
        <v>15.437334981180831</v>
      </c>
      <c r="AD19" s="6">
        <v>13.322775030902349</v>
      </c>
      <c r="AE19" s="6">
        <v>0</v>
      </c>
      <c r="AF19" s="6">
        <f t="shared" si="4"/>
        <v>13.322775030902349</v>
      </c>
      <c r="AG19" s="6">
        <v>12.82477596798738</v>
      </c>
      <c r="AH19" s="6">
        <v>0</v>
      </c>
      <c r="AI19" s="6">
        <f t="shared" si="5"/>
        <v>12.82477596798738</v>
      </c>
      <c r="AJ19">
        <v>1.9475411146756989</v>
      </c>
      <c r="AK19" s="3">
        <v>120.1747123598868</v>
      </c>
      <c r="AL19">
        <v>62.658170504282118</v>
      </c>
      <c r="AM19">
        <v>52.139230686602289</v>
      </c>
      <c r="AN19">
        <v>5.42143964035699</v>
      </c>
      <c r="AO19">
        <v>120.7601111042926</v>
      </c>
      <c r="AP19">
        <v>42.812226732110361</v>
      </c>
      <c r="AQ19">
        <v>35.452291605740768</v>
      </c>
      <c r="AR19">
        <v>5.0885002808259054</v>
      </c>
      <c r="AS19">
        <v>115.2129031895108</v>
      </c>
      <c r="AT19">
        <v>71.846799619475291</v>
      </c>
      <c r="AU19">
        <v>62.360028807968092</v>
      </c>
      <c r="AV19">
        <v>4.0984595387363862</v>
      </c>
      <c r="AW19">
        <v>126.48057201372519</v>
      </c>
      <c r="AX19">
        <v>116.1226766124298</v>
      </c>
      <c r="AY19">
        <v>91.810682671350236</v>
      </c>
      <c r="AZ19">
        <v>3.6538553322819651</v>
      </c>
      <c r="BA19">
        <v>137.7382709341563</v>
      </c>
      <c r="BB19">
        <v>123.7321878666331</v>
      </c>
      <c r="BC19">
        <v>89.831378764571085</v>
      </c>
      <c r="BD19">
        <v>3.7375934818541938</v>
      </c>
      <c r="BE19">
        <v>149.96064668535081</v>
      </c>
      <c r="BF19">
        <v>132.34599854760961</v>
      </c>
      <c r="BG19">
        <v>88.25381956727594</v>
      </c>
      <c r="BH19">
        <v>0.81054430884878592</v>
      </c>
      <c r="BI19">
        <v>6.9941987522080903E-2</v>
      </c>
      <c r="BJ19">
        <v>0.8400829236881997</v>
      </c>
      <c r="BK19">
        <v>7.0551140835396903E-2</v>
      </c>
      <c r="BL19">
        <v>0.8404243131495106</v>
      </c>
      <c r="BM19">
        <v>7.1455166339710496E-2</v>
      </c>
      <c r="BN19">
        <v>0.83323307109266942</v>
      </c>
      <c r="BO19">
        <v>7.61350372922696E-2</v>
      </c>
      <c r="BP19">
        <v>0.8325676583940711</v>
      </c>
      <c r="BQ19">
        <v>7.78596870478164E-2</v>
      </c>
      <c r="BR19">
        <v>0.83003472758219787</v>
      </c>
      <c r="BS19">
        <v>7.9112761589027206E-2</v>
      </c>
    </row>
    <row r="20" spans="1:71" x14ac:dyDescent="0.3">
      <c r="A20" t="s">
        <v>193</v>
      </c>
      <c r="B20" t="s">
        <v>66</v>
      </c>
      <c r="C20" t="s">
        <v>194</v>
      </c>
      <c r="D20" t="s">
        <v>195</v>
      </c>
      <c r="E20" s="2">
        <v>43222</v>
      </c>
      <c r="F20" s="2">
        <v>0.35208333333503111</v>
      </c>
      <c r="G20">
        <v>99</v>
      </c>
      <c r="H20" s="2">
        <v>43262</v>
      </c>
      <c r="I20" s="2">
        <v>0.70833333333212067</v>
      </c>
      <c r="J20" t="s">
        <v>144</v>
      </c>
      <c r="K20">
        <v>258</v>
      </c>
      <c r="L20" t="s">
        <v>157</v>
      </c>
      <c r="M20" t="s">
        <v>146</v>
      </c>
      <c r="N20" t="s">
        <v>196</v>
      </c>
      <c r="O20" t="s">
        <v>197</v>
      </c>
      <c r="P20" t="s">
        <v>198</v>
      </c>
      <c r="Q20" t="s">
        <v>199</v>
      </c>
      <c r="R20">
        <v>8.2817337461300315</v>
      </c>
      <c r="S20">
        <v>0</v>
      </c>
      <c r="T20" s="6">
        <f t="shared" si="0"/>
        <v>8.2817337461300315</v>
      </c>
      <c r="U20" s="6">
        <v>8.9506172839506188</v>
      </c>
      <c r="V20" s="6">
        <v>0.17868745938921379</v>
      </c>
      <c r="W20" s="6">
        <f t="shared" si="1"/>
        <v>9.1293047433398318</v>
      </c>
      <c r="X20" s="6">
        <v>6.03955104222341</v>
      </c>
      <c r="Y20" s="6">
        <v>0.1158026011045787</v>
      </c>
      <c r="Z20" s="6">
        <f t="shared" si="2"/>
        <v>6.155353643327989</v>
      </c>
      <c r="AA20" s="6">
        <v>5.4482138845203334</v>
      </c>
      <c r="AB20" s="6">
        <v>0.19096832172545489</v>
      </c>
      <c r="AC20" s="6">
        <f t="shared" si="3"/>
        <v>5.6391822062457884</v>
      </c>
      <c r="AD20" s="6">
        <v>7.4810752355940062</v>
      </c>
      <c r="AE20" s="6">
        <v>0.13131469179669389</v>
      </c>
      <c r="AF20" s="6">
        <f t="shared" si="4"/>
        <v>7.6123899273907005</v>
      </c>
      <c r="AG20" s="6">
        <v>9.1444513329200241</v>
      </c>
      <c r="AH20" s="6">
        <v>9.58124330721975E-2</v>
      </c>
      <c r="AI20" s="6">
        <f t="shared" si="5"/>
        <v>9.2402637659922213</v>
      </c>
      <c r="AJ20">
        <v>2.1543758383207998</v>
      </c>
      <c r="AK20" s="3">
        <v>232.2755445843319</v>
      </c>
      <c r="AL20">
        <v>132.27783692410929</v>
      </c>
      <c r="AM20">
        <v>56.948671527528539</v>
      </c>
      <c r="AN20">
        <v>3.0174684638901188</v>
      </c>
      <c r="AO20">
        <v>112.76431193807269</v>
      </c>
      <c r="AP20">
        <v>60.282307788161383</v>
      </c>
      <c r="AQ20">
        <v>53.458675667942607</v>
      </c>
      <c r="AR20">
        <v>2.0611612381858588</v>
      </c>
      <c r="AS20">
        <v>127.3867216681621</v>
      </c>
      <c r="AT20">
        <v>77.715536047209838</v>
      </c>
      <c r="AU20">
        <v>61.007564233936428</v>
      </c>
      <c r="AV20">
        <v>1.972184492066354</v>
      </c>
      <c r="AW20">
        <v>154.7844778650427</v>
      </c>
      <c r="AX20">
        <v>139.6308536390448</v>
      </c>
      <c r="AY20">
        <v>90.209855384071261</v>
      </c>
      <c r="AZ20">
        <v>2.8346293573630121</v>
      </c>
      <c r="BA20">
        <v>151.1571514537041</v>
      </c>
      <c r="BB20">
        <v>126.2372555711128</v>
      </c>
      <c r="BC20">
        <v>83.513915390087504</v>
      </c>
      <c r="BD20">
        <v>4.002465448706098</v>
      </c>
      <c r="BE20">
        <v>162.0457257766507</v>
      </c>
      <c r="BF20">
        <v>140.7603790676113</v>
      </c>
      <c r="BG20">
        <v>86.864604662033926</v>
      </c>
      <c r="BH20">
        <v>0.76439706640860783</v>
      </c>
      <c r="BI20">
        <v>8.54512269339959E-2</v>
      </c>
      <c r="BJ20">
        <v>0.76935917687142297</v>
      </c>
      <c r="BK20">
        <v>8.8640123922730393E-2</v>
      </c>
      <c r="BL20">
        <v>0.76292082836329433</v>
      </c>
      <c r="BM20">
        <v>9.6155450074938698E-2</v>
      </c>
      <c r="BN20">
        <v>0.75689065351305918</v>
      </c>
      <c r="BO20">
        <v>0.10474189911947129</v>
      </c>
      <c r="BP20">
        <v>0.76135869638819387</v>
      </c>
      <c r="BQ20">
        <v>0.1078310967821047</v>
      </c>
      <c r="BR20">
        <v>0.7697975625247766</v>
      </c>
      <c r="BS20">
        <v>0.1021205170097616</v>
      </c>
    </row>
    <row r="21" spans="1:71" x14ac:dyDescent="0.3">
      <c r="A21" t="s">
        <v>193</v>
      </c>
      <c r="B21" t="s">
        <v>76</v>
      </c>
      <c r="C21" t="s">
        <v>200</v>
      </c>
      <c r="D21" t="s">
        <v>95</v>
      </c>
      <c r="E21" s="2">
        <v>43222</v>
      </c>
      <c r="F21" s="2">
        <v>0.38472222222117131</v>
      </c>
      <c r="G21">
        <v>99</v>
      </c>
      <c r="H21" s="2">
        <v>43262</v>
      </c>
      <c r="I21" s="2">
        <v>0.72013888888977817</v>
      </c>
      <c r="J21" t="s">
        <v>156</v>
      </c>
      <c r="K21">
        <v>158</v>
      </c>
      <c r="L21" t="s">
        <v>70</v>
      </c>
      <c r="M21" t="s">
        <v>146</v>
      </c>
      <c r="N21" t="s">
        <v>201</v>
      </c>
      <c r="O21" t="s">
        <v>202</v>
      </c>
      <c r="P21" t="s">
        <v>203</v>
      </c>
      <c r="R21">
        <v>8.2817337461300315</v>
      </c>
      <c r="S21">
        <v>0</v>
      </c>
      <c r="T21" s="6">
        <f t="shared" si="0"/>
        <v>8.2817337461300315</v>
      </c>
      <c r="U21" s="6">
        <v>8.9506172839506188</v>
      </c>
      <c r="V21" s="6">
        <v>0.17868745938921379</v>
      </c>
      <c r="W21" s="6">
        <f t="shared" si="1"/>
        <v>9.1293047433398318</v>
      </c>
      <c r="X21" s="6">
        <v>6.03955104222341</v>
      </c>
      <c r="Y21" s="6">
        <v>0.1158026011045787</v>
      </c>
      <c r="Z21" s="6">
        <f t="shared" si="2"/>
        <v>6.155353643327989</v>
      </c>
      <c r="AA21" s="6">
        <v>5.4482138845203334</v>
      </c>
      <c r="AB21" s="6">
        <v>0.19096832172545489</v>
      </c>
      <c r="AC21" s="6">
        <f t="shared" si="3"/>
        <v>5.6391822062457884</v>
      </c>
      <c r="AD21" s="6">
        <v>7.4810752355940062</v>
      </c>
      <c r="AE21" s="6">
        <v>0.13131469179669389</v>
      </c>
      <c r="AF21" s="6">
        <f t="shared" si="4"/>
        <v>7.6123899273907005</v>
      </c>
      <c r="AG21" s="6">
        <v>9.1444513329200241</v>
      </c>
      <c r="AH21" s="6">
        <v>9.58124330721975E-2</v>
      </c>
      <c r="AI21" s="6">
        <f t="shared" si="5"/>
        <v>9.2402637659922213</v>
      </c>
      <c r="AJ21">
        <v>2.1543758383207998</v>
      </c>
      <c r="AK21" s="3">
        <v>232.2755445843319</v>
      </c>
      <c r="AL21">
        <v>132.27783692410929</v>
      </c>
      <c r="AM21">
        <v>56.948671527528539</v>
      </c>
      <c r="AN21">
        <v>3.0174684638901188</v>
      </c>
      <c r="AO21">
        <v>112.76431193807269</v>
      </c>
      <c r="AP21">
        <v>60.282307788161383</v>
      </c>
      <c r="AQ21">
        <v>53.458675667942607</v>
      </c>
      <c r="AR21">
        <v>2.0611612381858588</v>
      </c>
      <c r="AS21">
        <v>127.3867216681621</v>
      </c>
      <c r="AT21">
        <v>77.715536047209838</v>
      </c>
      <c r="AU21">
        <v>61.007564233936428</v>
      </c>
      <c r="AV21">
        <v>1.972184492066354</v>
      </c>
      <c r="AW21">
        <v>154.7844778650427</v>
      </c>
      <c r="AX21">
        <v>139.6308536390448</v>
      </c>
      <c r="AY21">
        <v>90.209855384071261</v>
      </c>
      <c r="AZ21">
        <v>2.8346293573630121</v>
      </c>
      <c r="BA21">
        <v>151.1571514537041</v>
      </c>
      <c r="BB21">
        <v>126.2372555711128</v>
      </c>
      <c r="BC21">
        <v>83.513915390087504</v>
      </c>
      <c r="BD21">
        <v>4.002465448706098</v>
      </c>
      <c r="BE21">
        <v>162.0457257766507</v>
      </c>
      <c r="BF21">
        <v>140.7603790676113</v>
      </c>
      <c r="BG21">
        <v>86.864604662033926</v>
      </c>
      <c r="BH21">
        <v>0.76439706640860783</v>
      </c>
      <c r="BI21">
        <v>8.54512269339959E-2</v>
      </c>
      <c r="BJ21">
        <v>0.76935917687142297</v>
      </c>
      <c r="BK21">
        <v>8.8640123922730393E-2</v>
      </c>
      <c r="BL21">
        <v>0.76292082836329433</v>
      </c>
      <c r="BM21">
        <v>9.6155450074938698E-2</v>
      </c>
      <c r="BN21">
        <v>0.75689065351305918</v>
      </c>
      <c r="BO21">
        <v>0.10474189911947129</v>
      </c>
      <c r="BP21">
        <v>0.76135869638819387</v>
      </c>
      <c r="BQ21">
        <v>0.1078310967821047</v>
      </c>
      <c r="BR21">
        <v>0.7697975625247766</v>
      </c>
      <c r="BS21">
        <v>0.1021205170097616</v>
      </c>
    </row>
    <row r="22" spans="1:71" x14ac:dyDescent="0.3">
      <c r="A22" t="s">
        <v>193</v>
      </c>
      <c r="B22" t="s">
        <v>83</v>
      </c>
      <c r="C22" t="s">
        <v>204</v>
      </c>
      <c r="D22" t="s">
        <v>205</v>
      </c>
      <c r="E22" s="2">
        <v>43222</v>
      </c>
      <c r="F22" s="2">
        <v>0.46458333333430352</v>
      </c>
      <c r="G22">
        <v>99</v>
      </c>
      <c r="H22" s="2">
        <v>43262</v>
      </c>
      <c r="I22" s="2">
        <v>0.69722222222117125</v>
      </c>
      <c r="J22" t="s">
        <v>206</v>
      </c>
      <c r="K22">
        <v>266</v>
      </c>
      <c r="L22" t="s">
        <v>207</v>
      </c>
      <c r="M22" t="s">
        <v>158</v>
      </c>
      <c r="N22" t="s">
        <v>208</v>
      </c>
      <c r="O22" t="s">
        <v>209</v>
      </c>
      <c r="P22" t="s">
        <v>210</v>
      </c>
      <c r="Q22" t="s">
        <v>211</v>
      </c>
      <c r="R22">
        <v>8.2817337461300315</v>
      </c>
      <c r="S22">
        <v>0</v>
      </c>
      <c r="T22" s="6">
        <f t="shared" si="0"/>
        <v>8.2817337461300315</v>
      </c>
      <c r="U22" s="6">
        <v>8.9506172839506188</v>
      </c>
      <c r="V22" s="6">
        <v>0.17868745938921379</v>
      </c>
      <c r="W22" s="6">
        <f t="shared" si="1"/>
        <v>9.1293047433398318</v>
      </c>
      <c r="X22" s="6">
        <v>6.03955104222341</v>
      </c>
      <c r="Y22" s="6">
        <v>0.1158026011045787</v>
      </c>
      <c r="Z22" s="6">
        <f t="shared" si="2"/>
        <v>6.155353643327989</v>
      </c>
      <c r="AA22" s="6">
        <v>5.4482138845203334</v>
      </c>
      <c r="AB22" s="6">
        <v>0.19096832172545489</v>
      </c>
      <c r="AC22" s="6">
        <f t="shared" si="3"/>
        <v>5.6391822062457884</v>
      </c>
      <c r="AD22" s="6">
        <v>7.4810752355940062</v>
      </c>
      <c r="AE22" s="6">
        <v>0.13131469179669389</v>
      </c>
      <c r="AF22" s="6">
        <f t="shared" si="4"/>
        <v>7.6123899273907005</v>
      </c>
      <c r="AG22" s="6">
        <v>9.1444513329200241</v>
      </c>
      <c r="AH22" s="6">
        <v>9.58124330721975E-2</v>
      </c>
      <c r="AI22" s="6">
        <f t="shared" si="5"/>
        <v>9.2402637659922213</v>
      </c>
      <c r="AJ22">
        <v>2.1543758383207998</v>
      </c>
      <c r="AK22" s="3">
        <v>232.2755445843319</v>
      </c>
      <c r="AL22">
        <v>132.27783692410929</v>
      </c>
      <c r="AM22">
        <v>56.948671527528539</v>
      </c>
      <c r="AN22">
        <v>3.0174684638901188</v>
      </c>
      <c r="AO22">
        <v>112.76431193807269</v>
      </c>
      <c r="AP22">
        <v>60.282307788161383</v>
      </c>
      <c r="AQ22">
        <v>53.458675667942607</v>
      </c>
      <c r="AR22">
        <v>2.0611612381858588</v>
      </c>
      <c r="AS22">
        <v>127.3867216681621</v>
      </c>
      <c r="AT22">
        <v>77.715536047209838</v>
      </c>
      <c r="AU22">
        <v>61.007564233936428</v>
      </c>
      <c r="AV22">
        <v>1.972184492066354</v>
      </c>
      <c r="AW22">
        <v>154.7844778650427</v>
      </c>
      <c r="AX22">
        <v>139.6308536390448</v>
      </c>
      <c r="AY22">
        <v>90.209855384071261</v>
      </c>
      <c r="AZ22">
        <v>2.8346293573630121</v>
      </c>
      <c r="BA22">
        <v>151.1571514537041</v>
      </c>
      <c r="BB22">
        <v>126.2372555711128</v>
      </c>
      <c r="BC22">
        <v>83.513915390087504</v>
      </c>
      <c r="BD22">
        <v>4.002465448706098</v>
      </c>
      <c r="BE22">
        <v>162.0457257766507</v>
      </c>
      <c r="BF22">
        <v>140.7603790676113</v>
      </c>
      <c r="BG22">
        <v>86.864604662033926</v>
      </c>
      <c r="BH22">
        <v>0.76439706640860783</v>
      </c>
      <c r="BI22">
        <v>8.54512269339959E-2</v>
      </c>
      <c r="BJ22">
        <v>0.76935917687142297</v>
      </c>
      <c r="BK22">
        <v>8.8640123922730393E-2</v>
      </c>
      <c r="BL22">
        <v>0.76292082836329433</v>
      </c>
      <c r="BM22">
        <v>9.6155450074938698E-2</v>
      </c>
      <c r="BN22">
        <v>0.75689065351305918</v>
      </c>
      <c r="BO22">
        <v>0.10474189911947129</v>
      </c>
      <c r="BP22">
        <v>0.76135869638819387</v>
      </c>
      <c r="BQ22">
        <v>0.1078310967821047</v>
      </c>
      <c r="BR22">
        <v>0.7697975625247766</v>
      </c>
      <c r="BS22">
        <v>0.1021205170097616</v>
      </c>
    </row>
    <row r="23" spans="1:71" x14ac:dyDescent="0.3">
      <c r="A23" t="s">
        <v>212</v>
      </c>
      <c r="B23" t="s">
        <v>66</v>
      </c>
      <c r="C23" t="s">
        <v>155</v>
      </c>
      <c r="D23" t="s">
        <v>78</v>
      </c>
      <c r="E23" s="2">
        <v>42948</v>
      </c>
      <c r="F23" s="2">
        <v>0.4694444444430701</v>
      </c>
      <c r="G23">
        <v>99</v>
      </c>
      <c r="H23" s="2">
        <v>42978</v>
      </c>
      <c r="I23" s="2">
        <v>0.34097222222044371</v>
      </c>
      <c r="J23" t="s">
        <v>213</v>
      </c>
      <c r="K23">
        <v>528</v>
      </c>
      <c r="L23" t="s">
        <v>70</v>
      </c>
      <c r="M23" t="s">
        <v>178</v>
      </c>
      <c r="N23" t="s">
        <v>214</v>
      </c>
      <c r="O23" t="s">
        <v>215</v>
      </c>
      <c r="P23" t="s">
        <v>216</v>
      </c>
      <c r="Q23" t="s">
        <v>217</v>
      </c>
      <c r="R23">
        <v>6.3418406805877803</v>
      </c>
      <c r="S23">
        <v>3.8669760247486473E-2</v>
      </c>
      <c r="T23" s="6">
        <f t="shared" si="0"/>
        <v>6.3805104408352671</v>
      </c>
      <c r="U23" s="6">
        <v>8.7881741390513337</v>
      </c>
      <c r="V23" s="6">
        <v>0.73099415204678353</v>
      </c>
      <c r="W23" s="6">
        <f t="shared" si="1"/>
        <v>9.5191682910981168</v>
      </c>
      <c r="X23" s="6">
        <v>7.731452548879564</v>
      </c>
      <c r="Y23" s="6">
        <v>0.87492188197482357</v>
      </c>
      <c r="Z23" s="6">
        <f t="shared" si="2"/>
        <v>8.6063744308543875</v>
      </c>
      <c r="AA23" s="6">
        <v>6.6393304499241701</v>
      </c>
      <c r="AB23" s="6">
        <v>1.1290231983373591</v>
      </c>
      <c r="AC23" s="6">
        <f t="shared" si="3"/>
        <v>7.7683536482615292</v>
      </c>
      <c r="AD23" s="6">
        <v>5.1990722844994197</v>
      </c>
      <c r="AE23" s="6">
        <v>1.399304213374565</v>
      </c>
      <c r="AF23" s="6">
        <f t="shared" si="4"/>
        <v>6.5983764978739847</v>
      </c>
      <c r="AG23" s="6">
        <v>5.2210419542982729</v>
      </c>
      <c r="AH23" s="6">
        <v>2.507678002873968</v>
      </c>
      <c r="AI23" s="6">
        <f t="shared" si="5"/>
        <v>7.7287199571722409</v>
      </c>
      <c r="AJ23">
        <v>4.4295577984165169</v>
      </c>
      <c r="AK23" s="3">
        <v>508.11384435358951</v>
      </c>
      <c r="AL23">
        <v>337.15456403161511</v>
      </c>
      <c r="AM23">
        <v>66.354138502275049</v>
      </c>
      <c r="AN23">
        <v>5.8993656133449166</v>
      </c>
      <c r="AO23">
        <v>206.71703817748761</v>
      </c>
      <c r="AP23">
        <v>208.13773575234339</v>
      </c>
      <c r="AQ23">
        <v>100.6872668007346</v>
      </c>
      <c r="AR23">
        <v>9.7047584492586001</v>
      </c>
      <c r="AS23">
        <v>184.97512375784331</v>
      </c>
      <c r="AT23">
        <v>218.54424473306051</v>
      </c>
      <c r="AU23">
        <v>118.1479110775802</v>
      </c>
      <c r="AV23">
        <v>11.13832442765437</v>
      </c>
      <c r="AW23">
        <v>290.09600902961017</v>
      </c>
      <c r="AX23">
        <v>347.32363788338989</v>
      </c>
      <c r="AY23">
        <v>119.72713414610899</v>
      </c>
      <c r="AZ23">
        <v>11.456447214994281</v>
      </c>
      <c r="BA23">
        <v>361.157435126157</v>
      </c>
      <c r="BB23">
        <v>362.67729052176668</v>
      </c>
      <c r="BC23">
        <v>100.4208290478857</v>
      </c>
      <c r="BD23">
        <v>13.802099412791391</v>
      </c>
      <c r="BE23">
        <v>386.30961677775491</v>
      </c>
      <c r="BF23">
        <v>390.09424055342492</v>
      </c>
      <c r="BG23">
        <v>100.97968665839539</v>
      </c>
      <c r="BH23">
        <v>0.80480684206600317</v>
      </c>
      <c r="BI23">
        <v>9.2402894005265204E-2</v>
      </c>
      <c r="BJ23">
        <v>0.80810901362553544</v>
      </c>
      <c r="BK23">
        <v>8.8588895094293602E-2</v>
      </c>
      <c r="BL23">
        <v>0.79988317947664522</v>
      </c>
      <c r="BM23">
        <v>0.110004427426423</v>
      </c>
      <c r="BN23">
        <v>0.79121207606095367</v>
      </c>
      <c r="BO23">
        <v>0.11320927029082591</v>
      </c>
      <c r="BP23">
        <v>0.78354322807457588</v>
      </c>
      <c r="BQ23">
        <v>0.1087627812096047</v>
      </c>
      <c r="BR23">
        <v>0.77692409519749484</v>
      </c>
      <c r="BS23">
        <v>0.1034345568816489</v>
      </c>
    </row>
    <row r="24" spans="1:71" x14ac:dyDescent="0.3">
      <c r="A24" t="s">
        <v>212</v>
      </c>
      <c r="B24" t="s">
        <v>76</v>
      </c>
      <c r="C24" t="s">
        <v>218</v>
      </c>
      <c r="D24" t="s">
        <v>85</v>
      </c>
      <c r="E24" s="2">
        <v>42948</v>
      </c>
      <c r="F24" s="2">
        <v>0.51666666666642413</v>
      </c>
      <c r="G24">
        <v>93</v>
      </c>
      <c r="H24" s="2">
        <v>42978</v>
      </c>
      <c r="I24" s="2">
        <v>0.32916666666642408</v>
      </c>
      <c r="J24" t="s">
        <v>219</v>
      </c>
      <c r="K24">
        <v>426</v>
      </c>
      <c r="L24" t="s">
        <v>220</v>
      </c>
      <c r="M24" t="s">
        <v>71</v>
      </c>
      <c r="N24" t="s">
        <v>221</v>
      </c>
      <c r="O24" t="s">
        <v>222</v>
      </c>
      <c r="P24" t="s">
        <v>223</v>
      </c>
      <c r="Q24" t="s">
        <v>224</v>
      </c>
      <c r="R24">
        <v>6.3418406805877803</v>
      </c>
      <c r="S24">
        <v>3.8669760247486473E-2</v>
      </c>
      <c r="T24" s="6">
        <f t="shared" si="0"/>
        <v>6.3805104408352671</v>
      </c>
      <c r="U24" s="6">
        <v>8.7881741390513337</v>
      </c>
      <c r="V24" s="6">
        <v>0.73099415204678353</v>
      </c>
      <c r="W24" s="6">
        <f t="shared" si="1"/>
        <v>9.5191682910981168</v>
      </c>
      <c r="X24" s="6">
        <v>7.731452548879564</v>
      </c>
      <c r="Y24" s="6">
        <v>0.87492188197482357</v>
      </c>
      <c r="Z24" s="6">
        <f t="shared" si="2"/>
        <v>8.6063744308543875</v>
      </c>
      <c r="AA24" s="6">
        <v>6.6393304499241701</v>
      </c>
      <c r="AB24" s="6">
        <v>1.1290231983373591</v>
      </c>
      <c r="AC24" s="6">
        <f t="shared" si="3"/>
        <v>7.7683536482615292</v>
      </c>
      <c r="AD24" s="6">
        <v>5.1990722844994197</v>
      </c>
      <c r="AE24" s="6">
        <v>1.399304213374565</v>
      </c>
      <c r="AF24" s="6">
        <f t="shared" si="4"/>
        <v>6.5983764978739847</v>
      </c>
      <c r="AG24" s="6">
        <v>5.2210419542982729</v>
      </c>
      <c r="AH24" s="6">
        <v>2.507678002873968</v>
      </c>
      <c r="AI24" s="6">
        <f t="shared" si="5"/>
        <v>7.7287199571722409</v>
      </c>
      <c r="AJ24">
        <v>4.4295577984165169</v>
      </c>
      <c r="AK24" s="3">
        <v>508.11384435358951</v>
      </c>
      <c r="AL24">
        <v>337.15456403161511</v>
      </c>
      <c r="AM24">
        <v>66.354138502275049</v>
      </c>
      <c r="AN24">
        <v>5.8993656133449166</v>
      </c>
      <c r="AO24">
        <v>206.71703817748761</v>
      </c>
      <c r="AP24">
        <v>208.13773575234339</v>
      </c>
      <c r="AQ24">
        <v>100.6872668007346</v>
      </c>
      <c r="AR24">
        <v>9.7047584492586001</v>
      </c>
      <c r="AS24">
        <v>184.97512375784331</v>
      </c>
      <c r="AT24">
        <v>218.54424473306051</v>
      </c>
      <c r="AU24">
        <v>118.1479110775802</v>
      </c>
      <c r="AV24">
        <v>11.13832442765437</v>
      </c>
      <c r="AW24">
        <v>290.09600902961017</v>
      </c>
      <c r="AX24">
        <v>347.32363788338989</v>
      </c>
      <c r="AY24">
        <v>119.72713414610899</v>
      </c>
      <c r="AZ24">
        <v>11.456447214994281</v>
      </c>
      <c r="BA24">
        <v>361.157435126157</v>
      </c>
      <c r="BB24">
        <v>362.67729052176668</v>
      </c>
      <c r="BC24">
        <v>100.4208290478857</v>
      </c>
      <c r="BD24">
        <v>13.802099412791391</v>
      </c>
      <c r="BE24">
        <v>386.30961677775491</v>
      </c>
      <c r="BF24">
        <v>390.09424055342492</v>
      </c>
      <c r="BG24">
        <v>100.97968665839539</v>
      </c>
      <c r="BH24">
        <v>0.80480684206600317</v>
      </c>
      <c r="BI24">
        <v>9.2402894005265204E-2</v>
      </c>
      <c r="BJ24">
        <v>0.80810901362553544</v>
      </c>
      <c r="BK24">
        <v>8.8588895094293602E-2</v>
      </c>
      <c r="BL24">
        <v>0.79988317947664522</v>
      </c>
      <c r="BM24">
        <v>0.110004427426423</v>
      </c>
      <c r="BN24">
        <v>0.79121207606095367</v>
      </c>
      <c r="BO24">
        <v>0.11320927029082591</v>
      </c>
      <c r="BP24">
        <v>0.78354322807457588</v>
      </c>
      <c r="BQ24">
        <v>0.1087627812096047</v>
      </c>
      <c r="BR24">
        <v>0.77692409519749484</v>
      </c>
      <c r="BS24">
        <v>0.1034345568816489</v>
      </c>
    </row>
    <row r="25" spans="1:71" x14ac:dyDescent="0.3">
      <c r="A25" t="s">
        <v>212</v>
      </c>
      <c r="B25" t="s">
        <v>83</v>
      </c>
      <c r="C25" t="s">
        <v>194</v>
      </c>
      <c r="D25" t="s">
        <v>68</v>
      </c>
      <c r="E25" s="2">
        <v>42948</v>
      </c>
      <c r="F25" s="2">
        <v>0.66111111111240461</v>
      </c>
      <c r="G25">
        <v>90</v>
      </c>
      <c r="H25" s="2">
        <v>42978</v>
      </c>
      <c r="I25" s="2">
        <v>0.31666666666569648</v>
      </c>
      <c r="J25" t="s">
        <v>225</v>
      </c>
      <c r="K25">
        <v>126</v>
      </c>
      <c r="L25" t="s">
        <v>207</v>
      </c>
      <c r="M25" t="s">
        <v>226</v>
      </c>
      <c r="N25" t="s">
        <v>227</v>
      </c>
      <c r="O25" t="s">
        <v>228</v>
      </c>
      <c r="P25" t="s">
        <v>229</v>
      </c>
      <c r="R25">
        <v>6.3418406805877803</v>
      </c>
      <c r="S25">
        <v>3.8669760247486473E-2</v>
      </c>
      <c r="T25" s="6">
        <f t="shared" si="0"/>
        <v>6.3805104408352671</v>
      </c>
      <c r="U25" s="6">
        <v>8.7881741390513337</v>
      </c>
      <c r="V25" s="6">
        <v>0.73099415204678353</v>
      </c>
      <c r="W25" s="6">
        <f t="shared" si="1"/>
        <v>9.5191682910981168</v>
      </c>
      <c r="X25" s="6">
        <v>7.731452548879564</v>
      </c>
      <c r="Y25" s="6">
        <v>0.87492188197482357</v>
      </c>
      <c r="Z25" s="6">
        <f t="shared" si="2"/>
        <v>8.6063744308543875</v>
      </c>
      <c r="AA25" s="6">
        <v>6.6393304499241701</v>
      </c>
      <c r="AB25" s="6">
        <v>1.1290231983373591</v>
      </c>
      <c r="AC25" s="6">
        <f t="shared" si="3"/>
        <v>7.7683536482615292</v>
      </c>
      <c r="AD25" s="6">
        <v>5.1990722844994197</v>
      </c>
      <c r="AE25" s="6">
        <v>1.399304213374565</v>
      </c>
      <c r="AF25" s="6">
        <f t="shared" si="4"/>
        <v>6.5983764978739847</v>
      </c>
      <c r="AG25" s="6">
        <v>5.2210419542982729</v>
      </c>
      <c r="AH25" s="6">
        <v>2.507678002873968</v>
      </c>
      <c r="AI25" s="6">
        <f t="shared" si="5"/>
        <v>7.7287199571722409</v>
      </c>
      <c r="AJ25">
        <v>4.4295577984165169</v>
      </c>
      <c r="AK25" s="3">
        <v>508.11384435358951</v>
      </c>
      <c r="AL25">
        <v>337.15456403161511</v>
      </c>
      <c r="AM25">
        <v>66.354138502275049</v>
      </c>
      <c r="AN25">
        <v>5.8993656133449166</v>
      </c>
      <c r="AO25">
        <v>206.71703817748761</v>
      </c>
      <c r="AP25">
        <v>208.13773575234339</v>
      </c>
      <c r="AQ25">
        <v>100.6872668007346</v>
      </c>
      <c r="AR25">
        <v>9.7047584492586001</v>
      </c>
      <c r="AS25">
        <v>184.97512375784331</v>
      </c>
      <c r="AT25">
        <v>218.54424473306051</v>
      </c>
      <c r="AU25">
        <v>118.1479110775802</v>
      </c>
      <c r="AV25">
        <v>11.13832442765437</v>
      </c>
      <c r="AW25">
        <v>290.09600902961017</v>
      </c>
      <c r="AX25">
        <v>347.32363788338989</v>
      </c>
      <c r="AY25">
        <v>119.72713414610899</v>
      </c>
      <c r="AZ25">
        <v>11.456447214994281</v>
      </c>
      <c r="BA25">
        <v>361.157435126157</v>
      </c>
      <c r="BB25">
        <v>362.67729052176668</v>
      </c>
      <c r="BC25">
        <v>100.4208290478857</v>
      </c>
      <c r="BD25">
        <v>13.802099412791391</v>
      </c>
      <c r="BE25">
        <v>386.30961677775491</v>
      </c>
      <c r="BF25">
        <v>390.09424055342492</v>
      </c>
      <c r="BG25">
        <v>100.97968665839539</v>
      </c>
      <c r="BH25">
        <v>0.80480684206600317</v>
      </c>
      <c r="BI25">
        <v>9.2402894005265204E-2</v>
      </c>
      <c r="BJ25">
        <v>0.80810901362553544</v>
      </c>
      <c r="BK25">
        <v>8.8588895094293602E-2</v>
      </c>
      <c r="BL25">
        <v>0.79988317947664522</v>
      </c>
      <c r="BM25">
        <v>0.110004427426423</v>
      </c>
      <c r="BN25">
        <v>0.79121207606095367</v>
      </c>
      <c r="BO25">
        <v>0.11320927029082591</v>
      </c>
      <c r="BP25">
        <v>0.78354322807457588</v>
      </c>
      <c r="BQ25">
        <v>0.1087627812096047</v>
      </c>
      <c r="BR25">
        <v>0.77692409519749484</v>
      </c>
      <c r="BS25">
        <v>0.1034345568816489</v>
      </c>
    </row>
    <row r="26" spans="1:71" x14ac:dyDescent="0.3">
      <c r="A26" t="s">
        <v>230</v>
      </c>
      <c r="B26" t="s">
        <v>66</v>
      </c>
      <c r="C26" t="s">
        <v>231</v>
      </c>
      <c r="D26" t="s">
        <v>195</v>
      </c>
      <c r="E26" s="2">
        <v>43356</v>
      </c>
      <c r="F26" s="2">
        <v>0.39513888888905058</v>
      </c>
      <c r="G26">
        <v>97</v>
      </c>
      <c r="H26" s="2">
        <v>43396</v>
      </c>
      <c r="I26" s="2">
        <v>0.61180555555620231</v>
      </c>
      <c r="J26" t="s">
        <v>86</v>
      </c>
      <c r="K26">
        <v>345</v>
      </c>
      <c r="L26" t="s">
        <v>70</v>
      </c>
      <c r="M26" t="s">
        <v>88</v>
      </c>
      <c r="N26" t="s">
        <v>232</v>
      </c>
      <c r="O26" t="s">
        <v>233</v>
      </c>
      <c r="P26" t="s">
        <v>234</v>
      </c>
      <c r="R26">
        <v>3.712296983758701</v>
      </c>
      <c r="S26">
        <v>0</v>
      </c>
      <c r="T26" s="6">
        <f t="shared" si="0"/>
        <v>3.712296983758701</v>
      </c>
      <c r="U26" s="6">
        <v>5.4001301236174362</v>
      </c>
      <c r="V26" s="6">
        <v>0</v>
      </c>
      <c r="W26" s="6">
        <f t="shared" si="1"/>
        <v>5.4001301236174362</v>
      </c>
      <c r="X26" s="6">
        <v>7.8982597054886208</v>
      </c>
      <c r="Y26" s="6">
        <v>4.4622936189201247E-2</v>
      </c>
      <c r="Z26" s="6">
        <f t="shared" si="2"/>
        <v>7.942882641677822</v>
      </c>
      <c r="AA26" s="6">
        <v>8.7873856685932346</v>
      </c>
      <c r="AB26" s="6">
        <v>0.29740194152965599</v>
      </c>
      <c r="AC26" s="6">
        <f t="shared" si="3"/>
        <v>9.0847876101228913</v>
      </c>
      <c r="AD26" s="6">
        <v>6.8099250212568601</v>
      </c>
      <c r="AE26" s="6">
        <v>0.45605627270619159</v>
      </c>
      <c r="AF26" s="6">
        <f t="shared" si="4"/>
        <v>7.2659812939630513</v>
      </c>
      <c r="AG26" s="6">
        <v>5.9780925294962408</v>
      </c>
      <c r="AH26" s="6">
        <v>0.65328189677019688</v>
      </c>
      <c r="AI26" s="6">
        <f t="shared" si="5"/>
        <v>6.6313744262664374</v>
      </c>
      <c r="AJ26">
        <v>7.7315917935998817</v>
      </c>
      <c r="AK26" s="3">
        <v>0</v>
      </c>
      <c r="AL26" s="6">
        <v>0</v>
      </c>
      <c r="AM26" s="6">
        <v>0</v>
      </c>
      <c r="AN26">
        <v>13.369210809762111</v>
      </c>
      <c r="AO26">
        <v>120.402386242944</v>
      </c>
      <c r="AP26">
        <v>0</v>
      </c>
      <c r="AQ26">
        <v>0</v>
      </c>
      <c r="AR26">
        <v>14.319552301063849</v>
      </c>
      <c r="AS26">
        <v>706.52870988896666</v>
      </c>
      <c r="AT26">
        <v>693.82814287996109</v>
      </c>
      <c r="AU26">
        <v>98.202399020557635</v>
      </c>
      <c r="AV26">
        <v>14.478837409771669</v>
      </c>
      <c r="AW26">
        <v>357.82995150387961</v>
      </c>
      <c r="AX26">
        <v>292.72071405022581</v>
      </c>
      <c r="AY26">
        <v>81.804419339405726</v>
      </c>
      <c r="AZ26">
        <v>10.82077690755931</v>
      </c>
      <c r="BA26">
        <v>373.01631183829039</v>
      </c>
      <c r="BB26">
        <v>298.71036417605472</v>
      </c>
      <c r="BC26">
        <v>80.079705550665381</v>
      </c>
      <c r="BD26">
        <v>9.9781617774835016</v>
      </c>
      <c r="BE26">
        <v>362.02819328959481</v>
      </c>
      <c r="BF26">
        <v>272.77689482718301</v>
      </c>
      <c r="BG26">
        <v>75.346865211953912</v>
      </c>
      <c r="BH26">
        <v>0.85527650478679129</v>
      </c>
      <c r="BI26">
        <v>4.7003359765235501E-2</v>
      </c>
      <c r="BJ26">
        <v>0.84774460785394534</v>
      </c>
      <c r="BK26">
        <v>4.3272118777790802E-2</v>
      </c>
      <c r="BL26">
        <v>0.84613404729984465</v>
      </c>
      <c r="BM26">
        <v>5.5331270798150201E-2</v>
      </c>
      <c r="BN26">
        <v>0.84549299163334102</v>
      </c>
      <c r="BO26">
        <v>5.4603008018709598E-2</v>
      </c>
      <c r="BP26">
        <v>0.84042625195180176</v>
      </c>
      <c r="BQ26">
        <v>6.7911100044058995E-2</v>
      </c>
      <c r="BR26">
        <v>0.82636900869522434</v>
      </c>
      <c r="BS26">
        <v>8.88357236739339E-2</v>
      </c>
    </row>
    <row r="27" spans="1:71" x14ac:dyDescent="0.3">
      <c r="A27" t="s">
        <v>230</v>
      </c>
      <c r="B27" t="s">
        <v>76</v>
      </c>
      <c r="C27" t="s">
        <v>120</v>
      </c>
      <c r="D27" t="s">
        <v>235</v>
      </c>
      <c r="E27" s="2">
        <v>43356</v>
      </c>
      <c r="F27" s="2">
        <v>0.47708333333503111</v>
      </c>
      <c r="G27">
        <v>94</v>
      </c>
      <c r="H27" s="2">
        <v>43396</v>
      </c>
      <c r="I27" s="2">
        <v>0.625</v>
      </c>
      <c r="J27" t="s">
        <v>130</v>
      </c>
      <c r="K27">
        <v>234</v>
      </c>
      <c r="L27" t="s">
        <v>70</v>
      </c>
      <c r="M27" t="s">
        <v>123</v>
      </c>
      <c r="N27" t="s">
        <v>236</v>
      </c>
      <c r="O27" t="s">
        <v>237</v>
      </c>
      <c r="P27" t="s">
        <v>238</v>
      </c>
      <c r="Q27" t="s">
        <v>239</v>
      </c>
      <c r="R27">
        <v>3.712296983758701</v>
      </c>
      <c r="S27">
        <v>0</v>
      </c>
      <c r="T27" s="6">
        <f t="shared" si="0"/>
        <v>3.712296983758701</v>
      </c>
      <c r="U27" s="6">
        <v>5.4001301236174362</v>
      </c>
      <c r="V27" s="6">
        <v>0</v>
      </c>
      <c r="W27" s="6">
        <f t="shared" si="1"/>
        <v>5.4001301236174362</v>
      </c>
      <c r="X27" s="6">
        <v>7.8982597054886208</v>
      </c>
      <c r="Y27" s="6">
        <v>4.4622936189201247E-2</v>
      </c>
      <c r="Z27" s="6">
        <f t="shared" si="2"/>
        <v>7.942882641677822</v>
      </c>
      <c r="AA27" s="6">
        <v>8.7873856685932346</v>
      </c>
      <c r="AB27" s="6">
        <v>0.29740194152965599</v>
      </c>
      <c r="AC27" s="6">
        <f t="shared" si="3"/>
        <v>9.0847876101228913</v>
      </c>
      <c r="AD27" s="6">
        <v>6.8099250212568601</v>
      </c>
      <c r="AE27" s="6">
        <v>0.45605627270619159</v>
      </c>
      <c r="AF27" s="6">
        <f t="shared" si="4"/>
        <v>7.2659812939630513</v>
      </c>
      <c r="AG27" s="6">
        <v>5.9780925294962408</v>
      </c>
      <c r="AH27" s="6">
        <v>0.65328189677019688</v>
      </c>
      <c r="AI27" s="6">
        <f t="shared" si="5"/>
        <v>6.6313744262664374</v>
      </c>
      <c r="AJ27">
        <v>7.7315917935998817</v>
      </c>
      <c r="AK27" s="3">
        <v>0</v>
      </c>
      <c r="AL27" s="6">
        <v>0</v>
      </c>
      <c r="AM27" s="6">
        <v>0</v>
      </c>
      <c r="AN27">
        <v>13.369210809762111</v>
      </c>
      <c r="AO27">
        <v>120.402386242944</v>
      </c>
      <c r="AP27">
        <v>0</v>
      </c>
      <c r="AQ27">
        <v>0</v>
      </c>
      <c r="AR27">
        <v>14.319552301063849</v>
      </c>
      <c r="AS27">
        <v>706.52870988896666</v>
      </c>
      <c r="AT27">
        <v>693.82814287996109</v>
      </c>
      <c r="AU27">
        <v>98.202399020557635</v>
      </c>
      <c r="AV27">
        <v>14.478837409771669</v>
      </c>
      <c r="AW27">
        <v>357.82995150387961</v>
      </c>
      <c r="AX27">
        <v>292.72071405022581</v>
      </c>
      <c r="AY27">
        <v>81.804419339405726</v>
      </c>
      <c r="AZ27">
        <v>10.82077690755931</v>
      </c>
      <c r="BA27">
        <v>373.01631183829039</v>
      </c>
      <c r="BB27">
        <v>298.71036417605472</v>
      </c>
      <c r="BC27">
        <v>80.079705550665381</v>
      </c>
      <c r="BD27">
        <v>9.9781617774835016</v>
      </c>
      <c r="BE27">
        <v>362.02819328959481</v>
      </c>
      <c r="BF27">
        <v>272.77689482718301</v>
      </c>
      <c r="BG27">
        <v>75.346865211953912</v>
      </c>
      <c r="BH27">
        <v>0.85527650478679129</v>
      </c>
      <c r="BI27">
        <v>4.7003359765235501E-2</v>
      </c>
      <c r="BJ27">
        <v>0.84774460785394534</v>
      </c>
      <c r="BK27">
        <v>4.3272118777790802E-2</v>
      </c>
      <c r="BL27">
        <v>0.84613404729984465</v>
      </c>
      <c r="BM27">
        <v>5.5331270798150201E-2</v>
      </c>
      <c r="BN27">
        <v>0.84549299163334102</v>
      </c>
      <c r="BO27">
        <v>5.4603008018709598E-2</v>
      </c>
      <c r="BP27">
        <v>0.84042625195180176</v>
      </c>
      <c r="BQ27">
        <v>6.7911100044058995E-2</v>
      </c>
      <c r="BR27">
        <v>0.82636900869522434</v>
      </c>
      <c r="BS27">
        <v>8.88357236739339E-2</v>
      </c>
    </row>
    <row r="28" spans="1:71" x14ac:dyDescent="0.3">
      <c r="A28" t="s">
        <v>230</v>
      </c>
      <c r="B28" t="s">
        <v>83</v>
      </c>
      <c r="C28" t="s">
        <v>240</v>
      </c>
      <c r="D28" t="s">
        <v>241</v>
      </c>
      <c r="E28" s="2">
        <v>43356</v>
      </c>
      <c r="F28" s="2">
        <v>0.51527777777664596</v>
      </c>
      <c r="G28">
        <v>89</v>
      </c>
      <c r="H28" s="2">
        <v>43396</v>
      </c>
      <c r="I28" s="2">
        <v>0.63888888889050577</v>
      </c>
      <c r="J28" t="s">
        <v>242</v>
      </c>
      <c r="K28">
        <v>362</v>
      </c>
      <c r="L28" t="s">
        <v>70</v>
      </c>
      <c r="M28" t="s">
        <v>123</v>
      </c>
      <c r="N28" t="s">
        <v>243</v>
      </c>
      <c r="O28" t="s">
        <v>244</v>
      </c>
      <c r="P28" t="s">
        <v>245</v>
      </c>
      <c r="R28">
        <v>3.712296983758701</v>
      </c>
      <c r="S28">
        <v>0</v>
      </c>
      <c r="T28" s="6">
        <f t="shared" si="0"/>
        <v>3.712296983758701</v>
      </c>
      <c r="U28" s="6">
        <v>5.4001301236174362</v>
      </c>
      <c r="V28" s="6">
        <v>0</v>
      </c>
      <c r="W28" s="6">
        <f t="shared" si="1"/>
        <v>5.4001301236174362</v>
      </c>
      <c r="X28" s="6">
        <v>7.8982597054886208</v>
      </c>
      <c r="Y28" s="6">
        <v>4.4622936189201247E-2</v>
      </c>
      <c r="Z28" s="6">
        <f t="shared" si="2"/>
        <v>7.942882641677822</v>
      </c>
      <c r="AA28" s="6">
        <v>8.7873856685932346</v>
      </c>
      <c r="AB28" s="6">
        <v>0.29740194152965599</v>
      </c>
      <c r="AC28" s="6">
        <f t="shared" si="3"/>
        <v>9.0847876101228913</v>
      </c>
      <c r="AD28" s="6">
        <v>6.8099250212568601</v>
      </c>
      <c r="AE28" s="6">
        <v>0.45605627270619159</v>
      </c>
      <c r="AF28" s="6">
        <f t="shared" si="4"/>
        <v>7.2659812939630513</v>
      </c>
      <c r="AG28" s="6">
        <v>5.9780925294962408</v>
      </c>
      <c r="AH28" s="6">
        <v>0.65328189677019688</v>
      </c>
      <c r="AI28" s="6">
        <f t="shared" si="5"/>
        <v>6.6313744262664374</v>
      </c>
      <c r="AJ28">
        <v>7.7315917935998817</v>
      </c>
      <c r="AK28" s="3">
        <v>0</v>
      </c>
      <c r="AL28" s="6">
        <v>0</v>
      </c>
      <c r="AM28" s="6">
        <v>0</v>
      </c>
      <c r="AN28">
        <v>13.369210809762111</v>
      </c>
      <c r="AO28">
        <v>120.402386242944</v>
      </c>
      <c r="AP28">
        <v>0</v>
      </c>
      <c r="AQ28">
        <v>0</v>
      </c>
      <c r="AR28">
        <v>14.319552301063849</v>
      </c>
      <c r="AS28">
        <v>706.52870988896666</v>
      </c>
      <c r="AT28">
        <v>693.82814287996109</v>
      </c>
      <c r="AU28">
        <v>98.202399020557635</v>
      </c>
      <c r="AV28">
        <v>14.478837409771669</v>
      </c>
      <c r="AW28">
        <v>357.82995150387961</v>
      </c>
      <c r="AX28">
        <v>292.72071405022581</v>
      </c>
      <c r="AY28">
        <v>81.804419339405726</v>
      </c>
      <c r="AZ28">
        <v>10.82077690755931</v>
      </c>
      <c r="BA28">
        <v>373.01631183829039</v>
      </c>
      <c r="BB28">
        <v>298.71036417605472</v>
      </c>
      <c r="BC28">
        <v>80.079705550665381</v>
      </c>
      <c r="BD28">
        <v>9.9781617774835016</v>
      </c>
      <c r="BE28">
        <v>362.02819328959481</v>
      </c>
      <c r="BF28">
        <v>272.77689482718301</v>
      </c>
      <c r="BG28">
        <v>75.346865211953912</v>
      </c>
      <c r="BH28">
        <v>0.85527650478679129</v>
      </c>
      <c r="BI28">
        <v>4.7003359765235501E-2</v>
      </c>
      <c r="BJ28">
        <v>0.84774460785394534</v>
      </c>
      <c r="BK28">
        <v>4.3272118777790802E-2</v>
      </c>
      <c r="BL28">
        <v>0.84613404729984465</v>
      </c>
      <c r="BM28">
        <v>5.5331270798150201E-2</v>
      </c>
      <c r="BN28">
        <v>0.84549299163334102</v>
      </c>
      <c r="BO28">
        <v>5.4603008018709598E-2</v>
      </c>
      <c r="BP28">
        <v>0.84042625195180176</v>
      </c>
      <c r="BQ28">
        <v>6.7911100044058995E-2</v>
      </c>
      <c r="BR28">
        <v>0.82636900869522434</v>
      </c>
      <c r="BS28">
        <v>8.88357236739339E-2</v>
      </c>
    </row>
    <row r="29" spans="1:71" x14ac:dyDescent="0.3">
      <c r="A29" t="s">
        <v>246</v>
      </c>
      <c r="B29" t="s">
        <v>66</v>
      </c>
      <c r="C29" t="s">
        <v>194</v>
      </c>
      <c r="D29" t="s">
        <v>247</v>
      </c>
      <c r="E29" s="2">
        <v>42920</v>
      </c>
      <c r="F29" s="2">
        <v>0.55069444444598048</v>
      </c>
      <c r="G29">
        <v>90</v>
      </c>
      <c r="H29" s="2">
        <v>42948</v>
      </c>
      <c r="I29" s="2">
        <v>0.31944444444525288</v>
      </c>
      <c r="J29" t="s">
        <v>69</v>
      </c>
      <c r="K29">
        <v>120</v>
      </c>
      <c r="L29" t="s">
        <v>70</v>
      </c>
      <c r="M29" t="s">
        <v>248</v>
      </c>
      <c r="N29" t="s">
        <v>249</v>
      </c>
      <c r="O29" t="s">
        <v>250</v>
      </c>
      <c r="P29" t="s">
        <v>251</v>
      </c>
      <c r="R29">
        <v>8.5979860573199058</v>
      </c>
      <c r="S29">
        <v>4.0278853601859019</v>
      </c>
      <c r="T29" s="6">
        <f t="shared" si="0"/>
        <v>12.625871417505808</v>
      </c>
      <c r="U29" s="6">
        <v>7.0986649299902309</v>
      </c>
      <c r="V29" s="6">
        <v>7.7661999348746349</v>
      </c>
      <c r="W29" s="6">
        <f t="shared" si="1"/>
        <v>14.864864864864867</v>
      </c>
      <c r="X29" s="6">
        <v>5.6223826071460401</v>
      </c>
      <c r="Y29" s="6">
        <v>9.3557872226677361</v>
      </c>
      <c r="Z29" s="6">
        <f t="shared" si="2"/>
        <v>14.978169829813776</v>
      </c>
      <c r="AA29" s="6">
        <v>4.5147869110536378</v>
      </c>
      <c r="AB29" s="6">
        <v>7.2191611379736873</v>
      </c>
      <c r="AC29" s="6">
        <f t="shared" si="3"/>
        <v>11.733948049027326</v>
      </c>
      <c r="AD29" s="6">
        <v>3.878394560976552</v>
      </c>
      <c r="AE29" s="6">
        <v>6.300459690191988</v>
      </c>
      <c r="AF29" s="6">
        <f t="shared" si="4"/>
        <v>10.17885425116854</v>
      </c>
      <c r="AG29" s="6">
        <v>3.1997068110058642</v>
      </c>
      <c r="AH29" s="6">
        <v>5.9060667568786656</v>
      </c>
      <c r="AI29" s="6">
        <f t="shared" si="5"/>
        <v>9.1057735678845297</v>
      </c>
      <c r="AJ29">
        <v>4.3758661887388222</v>
      </c>
      <c r="AK29" s="3">
        <v>319.83335719767211</v>
      </c>
      <c r="AL29">
        <v>316.75950904085101</v>
      </c>
      <c r="AM29">
        <v>99.038921961188279</v>
      </c>
      <c r="AN29">
        <v>5.6500093876298818</v>
      </c>
      <c r="AO29">
        <v>188.47670969089589</v>
      </c>
      <c r="AP29">
        <v>227.41623730726619</v>
      </c>
      <c r="AQ29">
        <v>120.6601270152856</v>
      </c>
      <c r="AR29">
        <v>7.1254417790791038</v>
      </c>
      <c r="AS29">
        <v>193.7638331142428</v>
      </c>
      <c r="AT29">
        <v>216.67370929948481</v>
      </c>
      <c r="AU29">
        <v>111.8236080578228</v>
      </c>
      <c r="AV29">
        <v>5.0909408085380923</v>
      </c>
      <c r="AW29">
        <v>178.13922602670149</v>
      </c>
      <c r="AX29">
        <v>167.0458440711248</v>
      </c>
      <c r="AY29">
        <v>93.772633797166094</v>
      </c>
      <c r="AZ29">
        <v>5.0508464246869869</v>
      </c>
      <c r="BA29">
        <v>166.81307765285919</v>
      </c>
      <c r="BB29">
        <v>163.9778218630573</v>
      </c>
      <c r="BC29">
        <v>98.300339619833565</v>
      </c>
      <c r="BD29">
        <v>5.3088948752814007</v>
      </c>
      <c r="BE29">
        <v>206.1047582131163</v>
      </c>
      <c r="BF29">
        <v>246.94560855904231</v>
      </c>
      <c r="BG29">
        <v>119.8155785921719</v>
      </c>
      <c r="BH29">
        <v>0.78745170419932642</v>
      </c>
      <c r="BI29">
        <v>0.13798516553575479</v>
      </c>
      <c r="BJ29">
        <v>0.74348034211609459</v>
      </c>
      <c r="BK29">
        <v>0.14374952071546671</v>
      </c>
      <c r="BL29">
        <v>0.69904933935136204</v>
      </c>
      <c r="BM29">
        <v>0.1470733089343749</v>
      </c>
      <c r="BN29">
        <v>0.69590459576731678</v>
      </c>
      <c r="BO29">
        <v>0.14974347710054359</v>
      </c>
      <c r="BP29">
        <v>0.69528454577219512</v>
      </c>
      <c r="BQ29">
        <v>0.15263437933867069</v>
      </c>
      <c r="BR29">
        <v>0.68702281756483685</v>
      </c>
      <c r="BS29">
        <v>0.14879247682832231</v>
      </c>
    </row>
    <row r="30" spans="1:71" x14ac:dyDescent="0.3">
      <c r="A30" t="s">
        <v>246</v>
      </c>
      <c r="B30" t="s">
        <v>76</v>
      </c>
      <c r="C30" t="s">
        <v>155</v>
      </c>
      <c r="D30" t="s">
        <v>205</v>
      </c>
      <c r="E30" s="2">
        <v>42920</v>
      </c>
      <c r="F30" s="2">
        <v>0.56666666666569654</v>
      </c>
      <c r="G30">
        <v>70</v>
      </c>
      <c r="H30" s="2">
        <v>42948</v>
      </c>
      <c r="I30" s="2">
        <v>0.3250000000007276</v>
      </c>
      <c r="J30" t="s">
        <v>252</v>
      </c>
      <c r="K30">
        <v>77</v>
      </c>
      <c r="L30" t="s">
        <v>70</v>
      </c>
      <c r="M30" t="s">
        <v>248</v>
      </c>
      <c r="N30" t="s">
        <v>253</v>
      </c>
      <c r="O30" t="s">
        <v>254</v>
      </c>
      <c r="P30" t="s">
        <v>251</v>
      </c>
      <c r="Q30" t="s">
        <v>255</v>
      </c>
      <c r="R30">
        <v>8.5979860573199058</v>
      </c>
      <c r="S30">
        <v>4.0278853601859019</v>
      </c>
      <c r="T30" s="6">
        <f t="shared" si="0"/>
        <v>12.625871417505808</v>
      </c>
      <c r="U30" s="6">
        <v>7.0986649299902309</v>
      </c>
      <c r="V30" s="6">
        <v>7.7661999348746349</v>
      </c>
      <c r="W30" s="6">
        <f t="shared" si="1"/>
        <v>14.864864864864867</v>
      </c>
      <c r="X30" s="6">
        <v>5.6223826071460401</v>
      </c>
      <c r="Y30" s="6">
        <v>9.3557872226677361</v>
      </c>
      <c r="Z30" s="6">
        <f t="shared" si="2"/>
        <v>14.978169829813776</v>
      </c>
      <c r="AA30" s="6">
        <v>4.5147869110536378</v>
      </c>
      <c r="AB30" s="6">
        <v>7.2191611379736873</v>
      </c>
      <c r="AC30" s="6">
        <f t="shared" si="3"/>
        <v>11.733948049027326</v>
      </c>
      <c r="AD30" s="6">
        <v>3.878394560976552</v>
      </c>
      <c r="AE30" s="6">
        <v>6.300459690191988</v>
      </c>
      <c r="AF30" s="6">
        <f t="shared" si="4"/>
        <v>10.17885425116854</v>
      </c>
      <c r="AG30" s="6">
        <v>3.1997068110058642</v>
      </c>
      <c r="AH30" s="6">
        <v>5.9060667568786656</v>
      </c>
      <c r="AI30" s="6">
        <f t="shared" si="5"/>
        <v>9.1057735678845297</v>
      </c>
      <c r="AJ30">
        <v>4.3758661887388222</v>
      </c>
      <c r="AK30" s="3">
        <v>319.83335719767211</v>
      </c>
      <c r="AL30">
        <v>316.75950904085101</v>
      </c>
      <c r="AM30">
        <v>99.038921961188279</v>
      </c>
      <c r="AN30">
        <v>5.6500093876298818</v>
      </c>
      <c r="AO30">
        <v>188.47670969089589</v>
      </c>
      <c r="AP30">
        <v>227.41623730726619</v>
      </c>
      <c r="AQ30">
        <v>120.6601270152856</v>
      </c>
      <c r="AR30">
        <v>7.1254417790791038</v>
      </c>
      <c r="AS30">
        <v>193.7638331142428</v>
      </c>
      <c r="AT30">
        <v>216.67370929948481</v>
      </c>
      <c r="AU30">
        <v>111.8236080578228</v>
      </c>
      <c r="AV30">
        <v>5.0909408085380923</v>
      </c>
      <c r="AW30">
        <v>178.13922602670149</v>
      </c>
      <c r="AX30">
        <v>167.0458440711248</v>
      </c>
      <c r="AY30">
        <v>93.772633797166094</v>
      </c>
      <c r="AZ30">
        <v>5.0508464246869869</v>
      </c>
      <c r="BA30">
        <v>166.81307765285919</v>
      </c>
      <c r="BB30">
        <v>163.9778218630573</v>
      </c>
      <c r="BC30">
        <v>98.300339619833565</v>
      </c>
      <c r="BD30">
        <v>5.3088948752814007</v>
      </c>
      <c r="BE30">
        <v>206.1047582131163</v>
      </c>
      <c r="BF30">
        <v>246.94560855904231</v>
      </c>
      <c r="BG30">
        <v>119.8155785921719</v>
      </c>
      <c r="BH30">
        <v>0.78745170419932642</v>
      </c>
      <c r="BI30">
        <v>0.13798516553575479</v>
      </c>
      <c r="BJ30">
        <v>0.74348034211609459</v>
      </c>
      <c r="BK30">
        <v>0.14374952071546671</v>
      </c>
      <c r="BL30">
        <v>0.69904933935136204</v>
      </c>
      <c r="BM30">
        <v>0.1470733089343749</v>
      </c>
      <c r="BN30">
        <v>0.69590459576731678</v>
      </c>
      <c r="BO30">
        <v>0.14974347710054359</v>
      </c>
      <c r="BP30">
        <v>0.69528454577219512</v>
      </c>
      <c r="BQ30">
        <v>0.15263437933867069</v>
      </c>
      <c r="BR30">
        <v>0.68702281756483685</v>
      </c>
      <c r="BS30">
        <v>0.14879247682832231</v>
      </c>
    </row>
    <row r="31" spans="1:71" x14ac:dyDescent="0.3">
      <c r="A31" t="s">
        <v>246</v>
      </c>
      <c r="B31" t="s">
        <v>83</v>
      </c>
      <c r="C31" t="s">
        <v>218</v>
      </c>
      <c r="D31" t="s">
        <v>256</v>
      </c>
      <c r="E31" s="2">
        <v>42920</v>
      </c>
      <c r="F31" s="2">
        <v>0.58472222222189885</v>
      </c>
      <c r="G31">
        <v>93</v>
      </c>
      <c r="H31" s="2">
        <v>42948</v>
      </c>
      <c r="I31" s="2">
        <v>0.33472222222189879</v>
      </c>
      <c r="J31" t="s">
        <v>257</v>
      </c>
      <c r="K31">
        <v>125</v>
      </c>
      <c r="L31" t="s">
        <v>70</v>
      </c>
      <c r="M31" t="s">
        <v>166</v>
      </c>
      <c r="N31" t="s">
        <v>258</v>
      </c>
      <c r="O31" t="s">
        <v>259</v>
      </c>
      <c r="P31" t="s">
        <v>251</v>
      </c>
      <c r="Q31" t="s">
        <v>199</v>
      </c>
      <c r="R31">
        <v>8.5979860573199058</v>
      </c>
      <c r="S31">
        <v>4.0278853601859019</v>
      </c>
      <c r="T31" s="6">
        <f t="shared" si="0"/>
        <v>12.625871417505808</v>
      </c>
      <c r="U31" s="6">
        <v>7.0986649299902309</v>
      </c>
      <c r="V31" s="6">
        <v>7.7661999348746349</v>
      </c>
      <c r="W31" s="6">
        <f t="shared" si="1"/>
        <v>14.864864864864867</v>
      </c>
      <c r="X31" s="6">
        <v>5.6223826071460401</v>
      </c>
      <c r="Y31" s="6">
        <v>9.3557872226677361</v>
      </c>
      <c r="Z31" s="6">
        <f t="shared" si="2"/>
        <v>14.978169829813776</v>
      </c>
      <c r="AA31" s="6">
        <v>4.5147869110536378</v>
      </c>
      <c r="AB31" s="6">
        <v>7.2191611379736873</v>
      </c>
      <c r="AC31" s="6">
        <f t="shared" si="3"/>
        <v>11.733948049027326</v>
      </c>
      <c r="AD31" s="6">
        <v>3.878394560976552</v>
      </c>
      <c r="AE31" s="6">
        <v>6.300459690191988</v>
      </c>
      <c r="AF31" s="6">
        <f t="shared" si="4"/>
        <v>10.17885425116854</v>
      </c>
      <c r="AG31" s="6">
        <v>3.1997068110058642</v>
      </c>
      <c r="AH31" s="6">
        <v>5.9060667568786656</v>
      </c>
      <c r="AI31" s="6">
        <f t="shared" si="5"/>
        <v>9.1057735678845297</v>
      </c>
      <c r="AJ31">
        <v>4.3758661887388222</v>
      </c>
      <c r="AK31" s="3">
        <v>319.83335719767211</v>
      </c>
      <c r="AL31">
        <v>316.75950904085101</v>
      </c>
      <c r="AM31">
        <v>99.038921961188279</v>
      </c>
      <c r="AN31">
        <v>5.6500093876298818</v>
      </c>
      <c r="AO31">
        <v>188.47670969089589</v>
      </c>
      <c r="AP31">
        <v>227.41623730726619</v>
      </c>
      <c r="AQ31">
        <v>120.6601270152856</v>
      </c>
      <c r="AR31">
        <v>7.1254417790791038</v>
      </c>
      <c r="AS31">
        <v>193.7638331142428</v>
      </c>
      <c r="AT31">
        <v>216.67370929948481</v>
      </c>
      <c r="AU31">
        <v>111.8236080578228</v>
      </c>
      <c r="AV31">
        <v>5.0909408085380923</v>
      </c>
      <c r="AW31">
        <v>178.13922602670149</v>
      </c>
      <c r="AX31">
        <v>167.0458440711248</v>
      </c>
      <c r="AY31">
        <v>93.772633797166094</v>
      </c>
      <c r="AZ31">
        <v>5.0508464246869869</v>
      </c>
      <c r="BA31">
        <v>166.81307765285919</v>
      </c>
      <c r="BB31">
        <v>163.9778218630573</v>
      </c>
      <c r="BC31">
        <v>98.300339619833565</v>
      </c>
      <c r="BD31">
        <v>5.3088948752814007</v>
      </c>
      <c r="BE31">
        <v>206.1047582131163</v>
      </c>
      <c r="BF31">
        <v>246.94560855904231</v>
      </c>
      <c r="BG31">
        <v>119.8155785921719</v>
      </c>
      <c r="BH31">
        <v>0.78745170419932642</v>
      </c>
      <c r="BI31">
        <v>0.13798516553575479</v>
      </c>
      <c r="BJ31">
        <v>0.74348034211609459</v>
      </c>
      <c r="BK31">
        <v>0.14374952071546671</v>
      </c>
      <c r="BL31">
        <v>0.69904933935136204</v>
      </c>
      <c r="BM31">
        <v>0.1470733089343749</v>
      </c>
      <c r="BN31">
        <v>0.69590459576731678</v>
      </c>
      <c r="BO31">
        <v>0.14974347710054359</v>
      </c>
      <c r="BP31">
        <v>0.69528454577219512</v>
      </c>
      <c r="BQ31">
        <v>0.15263437933867069</v>
      </c>
      <c r="BR31">
        <v>0.68702281756483685</v>
      </c>
      <c r="BS31">
        <v>0.14879247682832231</v>
      </c>
    </row>
    <row r="32" spans="1:71" x14ac:dyDescent="0.3">
      <c r="A32" t="s">
        <v>260</v>
      </c>
      <c r="B32" t="s">
        <v>66</v>
      </c>
      <c r="C32" t="s">
        <v>77</v>
      </c>
      <c r="D32" t="s">
        <v>129</v>
      </c>
      <c r="E32" s="2">
        <v>42950</v>
      </c>
      <c r="F32" s="2">
        <v>0.45347222222335398</v>
      </c>
      <c r="G32">
        <v>95</v>
      </c>
      <c r="H32" s="2">
        <v>42982</v>
      </c>
      <c r="I32" s="2">
        <v>0.3131944444430701</v>
      </c>
      <c r="J32" t="s">
        <v>261</v>
      </c>
      <c r="K32">
        <v>201</v>
      </c>
      <c r="L32" t="s">
        <v>157</v>
      </c>
      <c r="M32" t="s">
        <v>262</v>
      </c>
      <c r="N32" t="s">
        <v>263</v>
      </c>
      <c r="O32" t="s">
        <v>264</v>
      </c>
      <c r="P32" t="s">
        <v>265</v>
      </c>
      <c r="R32">
        <v>12.750385208012331</v>
      </c>
      <c r="S32">
        <v>0</v>
      </c>
      <c r="T32" s="6">
        <f t="shared" si="0"/>
        <v>12.750385208012331</v>
      </c>
      <c r="U32" s="6">
        <v>10.930648042878021</v>
      </c>
      <c r="V32" s="6">
        <v>0</v>
      </c>
      <c r="W32" s="6">
        <f t="shared" si="1"/>
        <v>10.930648042878021</v>
      </c>
      <c r="X32" s="6">
        <v>11.38631503920171</v>
      </c>
      <c r="Y32" s="6">
        <v>0.1158232359230221</v>
      </c>
      <c r="Z32" s="6">
        <f t="shared" si="2"/>
        <v>11.502138275124732</v>
      </c>
      <c r="AA32" s="6">
        <v>11.90449438202247</v>
      </c>
      <c r="AB32" s="6">
        <v>0.43820224719101131</v>
      </c>
      <c r="AC32" s="6">
        <f t="shared" si="3"/>
        <v>12.342696629213481</v>
      </c>
      <c r="AD32" s="6">
        <v>9.757039669357642</v>
      </c>
      <c r="AE32" s="6">
        <v>0.48283054579164891</v>
      </c>
      <c r="AF32" s="6">
        <f t="shared" si="4"/>
        <v>10.23987021514929</v>
      </c>
      <c r="AG32" s="6">
        <v>8.350236646382692</v>
      </c>
      <c r="AH32" s="6">
        <v>0.40004507550146501</v>
      </c>
      <c r="AI32" s="6">
        <f t="shared" si="5"/>
        <v>8.7502817218841571</v>
      </c>
      <c r="AJ32">
        <v>6.6644710512521614</v>
      </c>
      <c r="AK32" s="3">
        <v>194.93604092995841</v>
      </c>
      <c r="AL32">
        <v>18.446746443953479</v>
      </c>
      <c r="AM32">
        <v>9.4629737815294526</v>
      </c>
      <c r="AN32">
        <v>6.0224088855231397</v>
      </c>
      <c r="AO32">
        <v>173.98415289007971</v>
      </c>
      <c r="AP32">
        <v>88.459931097080855</v>
      </c>
      <c r="AQ32">
        <v>50.843671465279023</v>
      </c>
      <c r="AR32">
        <v>7.9979847800774309</v>
      </c>
      <c r="AS32">
        <v>208.250431479204</v>
      </c>
      <c r="AT32">
        <v>135.3519777285882</v>
      </c>
      <c r="AU32">
        <v>64.994812624003885</v>
      </c>
      <c r="AV32">
        <v>10.40827645253569</v>
      </c>
      <c r="AW32">
        <v>173.96629832318169</v>
      </c>
      <c r="AX32">
        <v>105.2745667604762</v>
      </c>
      <c r="AY32">
        <v>60.514345465295158</v>
      </c>
      <c r="AZ32">
        <v>10.16688980398269</v>
      </c>
      <c r="BA32">
        <v>162.55470309362809</v>
      </c>
      <c r="BB32">
        <v>98.920180409307278</v>
      </c>
      <c r="BC32">
        <v>60.853471801631798</v>
      </c>
      <c r="BD32">
        <v>8.6230576577312643</v>
      </c>
      <c r="BE32">
        <v>198.1736963942484</v>
      </c>
      <c r="BF32">
        <v>219.15929133554769</v>
      </c>
      <c r="BG32">
        <v>110.589495641011</v>
      </c>
      <c r="BH32">
        <v>0.86377793975265316</v>
      </c>
      <c r="BI32">
        <v>7.0718318038213698E-2</v>
      </c>
      <c r="BJ32">
        <v>0.84926794688607532</v>
      </c>
      <c r="BK32">
        <v>7.54069376996752E-2</v>
      </c>
      <c r="BL32">
        <v>0.84015265311760834</v>
      </c>
      <c r="BM32">
        <v>7.6972754701476298E-2</v>
      </c>
      <c r="BN32">
        <v>0.83336677451821328</v>
      </c>
      <c r="BO32">
        <v>8.2944969868363999E-2</v>
      </c>
      <c r="BP32">
        <v>0.83273890903625181</v>
      </c>
      <c r="BQ32">
        <v>8.2472379040124E-2</v>
      </c>
      <c r="BR32">
        <v>0.83198153563348387</v>
      </c>
      <c r="BS32">
        <v>8.6259838932230007E-2</v>
      </c>
    </row>
    <row r="33" spans="1:71" x14ac:dyDescent="0.3">
      <c r="A33" t="s">
        <v>260</v>
      </c>
      <c r="B33" t="s">
        <v>76</v>
      </c>
      <c r="C33" t="s">
        <v>266</v>
      </c>
      <c r="D33" t="s">
        <v>267</v>
      </c>
      <c r="E33" s="2">
        <v>42950</v>
      </c>
      <c r="F33" s="2">
        <v>0.55833333333430346</v>
      </c>
      <c r="G33">
        <v>99</v>
      </c>
      <c r="H33" s="2">
        <v>42982</v>
      </c>
      <c r="I33" s="2">
        <v>0.32708333333357592</v>
      </c>
      <c r="J33" t="s">
        <v>137</v>
      </c>
      <c r="K33">
        <v>580</v>
      </c>
      <c r="L33" t="s">
        <v>157</v>
      </c>
      <c r="M33" t="s">
        <v>71</v>
      </c>
      <c r="N33" t="s">
        <v>268</v>
      </c>
      <c r="O33" t="s">
        <v>269</v>
      </c>
      <c r="P33" t="s">
        <v>270</v>
      </c>
      <c r="R33">
        <v>12.750385208012331</v>
      </c>
      <c r="S33">
        <v>0</v>
      </c>
      <c r="T33" s="6">
        <f t="shared" si="0"/>
        <v>12.750385208012331</v>
      </c>
      <c r="U33" s="6">
        <v>10.930648042878021</v>
      </c>
      <c r="V33" s="6">
        <v>0</v>
      </c>
      <c r="W33" s="6">
        <f t="shared" si="1"/>
        <v>10.930648042878021</v>
      </c>
      <c r="X33" s="6">
        <v>11.38631503920171</v>
      </c>
      <c r="Y33" s="6">
        <v>0.1158232359230221</v>
      </c>
      <c r="Z33" s="6">
        <f t="shared" si="2"/>
        <v>11.502138275124732</v>
      </c>
      <c r="AA33" s="6">
        <v>11.90449438202247</v>
      </c>
      <c r="AB33" s="6">
        <v>0.43820224719101131</v>
      </c>
      <c r="AC33" s="6">
        <f t="shared" si="3"/>
        <v>12.342696629213481</v>
      </c>
      <c r="AD33" s="6">
        <v>9.757039669357642</v>
      </c>
      <c r="AE33" s="6">
        <v>0.48283054579164891</v>
      </c>
      <c r="AF33" s="6">
        <f t="shared" si="4"/>
        <v>10.23987021514929</v>
      </c>
      <c r="AG33" s="6">
        <v>8.350236646382692</v>
      </c>
      <c r="AH33" s="6">
        <v>0.40004507550146501</v>
      </c>
      <c r="AI33" s="6">
        <f t="shared" si="5"/>
        <v>8.7502817218841571</v>
      </c>
      <c r="AJ33">
        <v>6.6644710512521614</v>
      </c>
      <c r="AK33" s="3">
        <v>194.93604092995841</v>
      </c>
      <c r="AL33">
        <v>18.446746443953479</v>
      </c>
      <c r="AM33">
        <v>9.4629737815294526</v>
      </c>
      <c r="AN33">
        <v>6.0224088855231397</v>
      </c>
      <c r="AO33">
        <v>173.98415289007971</v>
      </c>
      <c r="AP33">
        <v>88.459931097080855</v>
      </c>
      <c r="AQ33">
        <v>50.843671465279023</v>
      </c>
      <c r="AR33">
        <v>7.9979847800774309</v>
      </c>
      <c r="AS33">
        <v>208.250431479204</v>
      </c>
      <c r="AT33">
        <v>135.3519777285882</v>
      </c>
      <c r="AU33">
        <v>64.994812624003885</v>
      </c>
      <c r="AV33">
        <v>10.40827645253569</v>
      </c>
      <c r="AW33">
        <v>173.96629832318169</v>
      </c>
      <c r="AX33">
        <v>105.2745667604762</v>
      </c>
      <c r="AY33">
        <v>60.514345465295158</v>
      </c>
      <c r="AZ33">
        <v>10.16688980398269</v>
      </c>
      <c r="BA33">
        <v>162.55470309362809</v>
      </c>
      <c r="BB33">
        <v>98.920180409307278</v>
      </c>
      <c r="BC33">
        <v>60.853471801631798</v>
      </c>
      <c r="BD33">
        <v>8.6230576577312643</v>
      </c>
      <c r="BE33">
        <v>198.1736963942484</v>
      </c>
      <c r="BF33">
        <v>219.15929133554769</v>
      </c>
      <c r="BG33">
        <v>110.589495641011</v>
      </c>
      <c r="BH33">
        <v>0.86377793975265316</v>
      </c>
      <c r="BI33">
        <v>7.0718318038213698E-2</v>
      </c>
      <c r="BJ33">
        <v>0.84926794688607532</v>
      </c>
      <c r="BK33">
        <v>7.54069376996752E-2</v>
      </c>
      <c r="BL33">
        <v>0.84015265311760834</v>
      </c>
      <c r="BM33">
        <v>7.6972754701476298E-2</v>
      </c>
      <c r="BN33">
        <v>0.83336677451821328</v>
      </c>
      <c r="BO33">
        <v>8.2944969868363999E-2</v>
      </c>
      <c r="BP33">
        <v>0.83273890903625181</v>
      </c>
      <c r="BQ33">
        <v>8.2472379040124E-2</v>
      </c>
      <c r="BR33">
        <v>0.83198153563348387</v>
      </c>
      <c r="BS33">
        <v>8.6259838932230007E-2</v>
      </c>
    </row>
    <row r="34" spans="1:71" x14ac:dyDescent="0.3">
      <c r="A34" t="s">
        <v>260</v>
      </c>
      <c r="B34" t="s">
        <v>83</v>
      </c>
      <c r="C34" t="s">
        <v>84</v>
      </c>
      <c r="D34" t="s">
        <v>271</v>
      </c>
      <c r="E34" s="2">
        <v>42950</v>
      </c>
      <c r="F34" s="2">
        <v>0.61041666666642413</v>
      </c>
      <c r="G34">
        <v>93</v>
      </c>
      <c r="H34" s="2">
        <v>42982</v>
      </c>
      <c r="I34" s="2">
        <v>0.30625000000145519</v>
      </c>
      <c r="J34" t="s">
        <v>272</v>
      </c>
      <c r="K34">
        <v>361</v>
      </c>
      <c r="L34" t="s">
        <v>157</v>
      </c>
      <c r="M34" t="s">
        <v>226</v>
      </c>
      <c r="N34" t="s">
        <v>273</v>
      </c>
      <c r="O34" t="s">
        <v>274</v>
      </c>
      <c r="P34" t="s">
        <v>275</v>
      </c>
      <c r="R34">
        <v>12.750385208012331</v>
      </c>
      <c r="S34">
        <v>0</v>
      </c>
      <c r="T34" s="6">
        <f t="shared" si="0"/>
        <v>12.750385208012331</v>
      </c>
      <c r="U34" s="6">
        <v>10.930648042878021</v>
      </c>
      <c r="V34" s="6">
        <v>0</v>
      </c>
      <c r="W34" s="6">
        <f t="shared" si="1"/>
        <v>10.930648042878021</v>
      </c>
      <c r="X34" s="6">
        <v>11.38631503920171</v>
      </c>
      <c r="Y34" s="6">
        <v>0.1158232359230221</v>
      </c>
      <c r="Z34" s="6">
        <f t="shared" si="2"/>
        <v>11.502138275124732</v>
      </c>
      <c r="AA34" s="6">
        <v>11.90449438202247</v>
      </c>
      <c r="AB34" s="6">
        <v>0.43820224719101131</v>
      </c>
      <c r="AC34" s="6">
        <f t="shared" si="3"/>
        <v>12.342696629213481</v>
      </c>
      <c r="AD34" s="6">
        <v>9.757039669357642</v>
      </c>
      <c r="AE34" s="6">
        <v>0.48283054579164891</v>
      </c>
      <c r="AF34" s="6">
        <f t="shared" si="4"/>
        <v>10.23987021514929</v>
      </c>
      <c r="AG34" s="6">
        <v>8.350236646382692</v>
      </c>
      <c r="AH34" s="6">
        <v>0.40004507550146501</v>
      </c>
      <c r="AI34" s="6">
        <f t="shared" si="5"/>
        <v>8.7502817218841571</v>
      </c>
      <c r="AJ34">
        <v>6.6644710512521614</v>
      </c>
      <c r="AK34" s="3">
        <v>194.93604092995841</v>
      </c>
      <c r="AL34">
        <v>18.446746443953479</v>
      </c>
      <c r="AM34">
        <v>9.4629737815294526</v>
      </c>
      <c r="AN34">
        <v>6.0224088855231397</v>
      </c>
      <c r="AO34">
        <v>173.98415289007971</v>
      </c>
      <c r="AP34">
        <v>88.459931097080855</v>
      </c>
      <c r="AQ34">
        <v>50.843671465279023</v>
      </c>
      <c r="AR34">
        <v>7.9979847800774309</v>
      </c>
      <c r="AS34">
        <v>208.250431479204</v>
      </c>
      <c r="AT34">
        <v>135.3519777285882</v>
      </c>
      <c r="AU34">
        <v>64.994812624003885</v>
      </c>
      <c r="AV34">
        <v>10.40827645253569</v>
      </c>
      <c r="AW34">
        <v>173.96629832318169</v>
      </c>
      <c r="AX34">
        <v>105.2745667604762</v>
      </c>
      <c r="AY34">
        <v>60.514345465295158</v>
      </c>
      <c r="AZ34">
        <v>10.16688980398269</v>
      </c>
      <c r="BA34">
        <v>162.55470309362809</v>
      </c>
      <c r="BB34">
        <v>98.920180409307278</v>
      </c>
      <c r="BC34">
        <v>60.853471801631798</v>
      </c>
      <c r="BD34">
        <v>8.6230576577312643</v>
      </c>
      <c r="BE34">
        <v>198.1736963942484</v>
      </c>
      <c r="BF34">
        <v>219.15929133554769</v>
      </c>
      <c r="BG34">
        <v>110.589495641011</v>
      </c>
      <c r="BH34">
        <v>0.86377793975265316</v>
      </c>
      <c r="BI34">
        <v>7.0718318038213698E-2</v>
      </c>
      <c r="BJ34">
        <v>0.84926794688607532</v>
      </c>
      <c r="BK34">
        <v>7.54069376996752E-2</v>
      </c>
      <c r="BL34">
        <v>0.84015265311760834</v>
      </c>
      <c r="BM34">
        <v>7.6972754701476298E-2</v>
      </c>
      <c r="BN34">
        <v>0.83336677451821328</v>
      </c>
      <c r="BO34">
        <v>8.2944969868363999E-2</v>
      </c>
      <c r="BP34">
        <v>0.83273890903625181</v>
      </c>
      <c r="BQ34">
        <v>8.2472379040124E-2</v>
      </c>
      <c r="BR34">
        <v>0.83198153563348387</v>
      </c>
      <c r="BS34">
        <v>8.6259838932230007E-2</v>
      </c>
    </row>
    <row r="35" spans="1:71" x14ac:dyDescent="0.3">
      <c r="A35" t="s">
        <v>276</v>
      </c>
      <c r="B35" t="s">
        <v>66</v>
      </c>
      <c r="C35" t="s">
        <v>277</v>
      </c>
      <c r="D35" t="s">
        <v>278</v>
      </c>
      <c r="E35" s="2">
        <v>43357</v>
      </c>
      <c r="F35" s="2">
        <v>0.46597222222044371</v>
      </c>
      <c r="G35">
        <v>97</v>
      </c>
      <c r="H35" s="2">
        <v>43396</v>
      </c>
      <c r="I35" s="2">
        <v>0.40486111111022183</v>
      </c>
      <c r="J35" t="s">
        <v>86</v>
      </c>
      <c r="K35">
        <v>603</v>
      </c>
      <c r="L35" t="s">
        <v>97</v>
      </c>
      <c r="M35" t="s">
        <v>123</v>
      </c>
      <c r="N35" t="s">
        <v>279</v>
      </c>
      <c r="O35" t="s">
        <v>280</v>
      </c>
      <c r="P35" t="s">
        <v>281</v>
      </c>
      <c r="R35">
        <v>12.63482280431433</v>
      </c>
      <c r="S35">
        <v>0</v>
      </c>
      <c r="T35" s="6">
        <f t="shared" si="0"/>
        <v>12.63482280431433</v>
      </c>
      <c r="U35" s="6">
        <v>12.585254952906791</v>
      </c>
      <c r="V35" s="6">
        <v>0</v>
      </c>
      <c r="W35" s="6">
        <f t="shared" si="1"/>
        <v>12.585254952906791</v>
      </c>
      <c r="X35" s="6">
        <v>13.202672605790649</v>
      </c>
      <c r="Y35" s="6">
        <v>8.9086859688195987E-3</v>
      </c>
      <c r="Z35" s="6">
        <f t="shared" si="2"/>
        <v>13.211581291759469</v>
      </c>
      <c r="AA35" s="6">
        <v>15.576901471744749</v>
      </c>
      <c r="AB35" s="6">
        <v>0.10111223458038419</v>
      </c>
      <c r="AC35" s="6">
        <f t="shared" si="3"/>
        <v>15.678013706325133</v>
      </c>
      <c r="AD35" s="6">
        <v>16.74971993664774</v>
      </c>
      <c r="AE35" s="6">
        <v>0.13906594043342221</v>
      </c>
      <c r="AF35" s="6">
        <f t="shared" si="4"/>
        <v>16.888785877081162</v>
      </c>
      <c r="AG35" s="6">
        <v>17.69826736160023</v>
      </c>
      <c r="AH35" s="6">
        <v>0.1746724890829694</v>
      </c>
      <c r="AI35" s="6">
        <f t="shared" si="5"/>
        <v>17.872939850683199</v>
      </c>
      <c r="AJ35">
        <v>5.2832543922932702</v>
      </c>
      <c r="AK35" s="3">
        <v>171.08355435917849</v>
      </c>
      <c r="AL35">
        <v>101.6172512019332</v>
      </c>
      <c r="AM35">
        <v>59.396270776906228</v>
      </c>
      <c r="AN35">
        <v>12.46719176717575</v>
      </c>
      <c r="AO35">
        <v>322.46508094543782</v>
      </c>
      <c r="AP35">
        <v>334.71670122190659</v>
      </c>
      <c r="AQ35">
        <v>103.79936340410821</v>
      </c>
      <c r="AR35">
        <v>9.1874604406323996</v>
      </c>
      <c r="AS35">
        <v>162.7518796077494</v>
      </c>
      <c r="AT35">
        <v>128.6066054973781</v>
      </c>
      <c r="AU35">
        <v>79.020043152395345</v>
      </c>
      <c r="AV35">
        <v>7.2509652876122388</v>
      </c>
      <c r="AW35">
        <v>164.59418791640661</v>
      </c>
      <c r="AX35">
        <v>125.7698900538567</v>
      </c>
      <c r="AY35">
        <v>76.412108863608339</v>
      </c>
      <c r="AZ35">
        <v>9.2639220750606466</v>
      </c>
      <c r="BA35">
        <v>170.75214111233339</v>
      </c>
      <c r="BB35">
        <v>152.77759378364661</v>
      </c>
      <c r="BC35">
        <v>89.473310723019367</v>
      </c>
      <c r="BD35">
        <v>10.87083739773631</v>
      </c>
      <c r="BE35">
        <v>178.41672062030591</v>
      </c>
      <c r="BF35">
        <v>163.20369410099869</v>
      </c>
      <c r="BG35">
        <v>91.473317934319326</v>
      </c>
      <c r="BH35">
        <v>0.81848932282601194</v>
      </c>
      <c r="BI35">
        <v>9.7842220277524095E-2</v>
      </c>
      <c r="BJ35">
        <v>0.82476661411536079</v>
      </c>
      <c r="BK35">
        <v>0.1044423230924957</v>
      </c>
      <c r="BL35">
        <v>0.82803530257666547</v>
      </c>
      <c r="BM35">
        <v>9.2017421911712804E-2</v>
      </c>
      <c r="BN35">
        <v>0.83439769643010553</v>
      </c>
      <c r="BO35">
        <v>9.0885890621079102E-2</v>
      </c>
      <c r="BP35">
        <v>0.8304372034771762</v>
      </c>
      <c r="BQ35">
        <v>9.4946511416004797E-2</v>
      </c>
      <c r="BR35">
        <v>0.82827918258880295</v>
      </c>
      <c r="BS35">
        <v>9.5326002677757593E-2</v>
      </c>
    </row>
    <row r="36" spans="1:71" x14ac:dyDescent="0.3">
      <c r="A36" t="s">
        <v>276</v>
      </c>
      <c r="B36" t="s">
        <v>76</v>
      </c>
      <c r="C36" t="s">
        <v>113</v>
      </c>
      <c r="D36" t="s">
        <v>282</v>
      </c>
      <c r="E36" s="2">
        <v>43357</v>
      </c>
      <c r="F36" s="2">
        <v>0.49583333333430352</v>
      </c>
      <c r="G36">
        <v>95</v>
      </c>
      <c r="H36" s="2">
        <v>43396</v>
      </c>
      <c r="I36" s="2">
        <v>0.38541666666787933</v>
      </c>
      <c r="J36" t="s">
        <v>130</v>
      </c>
      <c r="K36">
        <v>645</v>
      </c>
      <c r="L36" t="s">
        <v>70</v>
      </c>
      <c r="M36" t="s">
        <v>123</v>
      </c>
      <c r="N36" t="s">
        <v>283</v>
      </c>
      <c r="O36" t="s">
        <v>284</v>
      </c>
      <c r="P36" t="s">
        <v>285</v>
      </c>
      <c r="Q36" t="s">
        <v>286</v>
      </c>
      <c r="R36">
        <v>12.63482280431433</v>
      </c>
      <c r="S36">
        <v>0</v>
      </c>
      <c r="T36" s="6">
        <f t="shared" si="0"/>
        <v>12.63482280431433</v>
      </c>
      <c r="U36" s="6">
        <v>12.585254952906791</v>
      </c>
      <c r="V36" s="6">
        <v>0</v>
      </c>
      <c r="W36" s="6">
        <f t="shared" si="1"/>
        <v>12.585254952906791</v>
      </c>
      <c r="X36" s="6">
        <v>13.202672605790649</v>
      </c>
      <c r="Y36" s="6">
        <v>8.9086859688195987E-3</v>
      </c>
      <c r="Z36" s="6">
        <f t="shared" si="2"/>
        <v>13.211581291759469</v>
      </c>
      <c r="AA36" s="6">
        <v>15.576901471744749</v>
      </c>
      <c r="AB36" s="6">
        <v>0.10111223458038419</v>
      </c>
      <c r="AC36" s="6">
        <f t="shared" si="3"/>
        <v>15.678013706325133</v>
      </c>
      <c r="AD36" s="6">
        <v>16.74971993664774</v>
      </c>
      <c r="AE36" s="6">
        <v>0.13906594043342221</v>
      </c>
      <c r="AF36" s="6">
        <f t="shared" si="4"/>
        <v>16.888785877081162</v>
      </c>
      <c r="AG36" s="6">
        <v>17.69826736160023</v>
      </c>
      <c r="AH36" s="6">
        <v>0.1746724890829694</v>
      </c>
      <c r="AI36" s="6">
        <f t="shared" si="5"/>
        <v>17.872939850683199</v>
      </c>
      <c r="AJ36">
        <v>5.2832543922932702</v>
      </c>
      <c r="AK36" s="3">
        <v>171.08355435917849</v>
      </c>
      <c r="AL36">
        <v>101.6172512019332</v>
      </c>
      <c r="AM36">
        <v>59.396270776906228</v>
      </c>
      <c r="AN36">
        <v>12.46719176717575</v>
      </c>
      <c r="AO36">
        <v>322.46508094543782</v>
      </c>
      <c r="AP36">
        <v>334.71670122190659</v>
      </c>
      <c r="AQ36">
        <v>103.79936340410821</v>
      </c>
      <c r="AR36">
        <v>9.1874604406323996</v>
      </c>
      <c r="AS36">
        <v>162.7518796077494</v>
      </c>
      <c r="AT36">
        <v>128.6066054973781</v>
      </c>
      <c r="AU36">
        <v>79.020043152395345</v>
      </c>
      <c r="AV36">
        <v>7.2509652876122388</v>
      </c>
      <c r="AW36">
        <v>164.59418791640661</v>
      </c>
      <c r="AX36">
        <v>125.7698900538567</v>
      </c>
      <c r="AY36">
        <v>76.412108863608339</v>
      </c>
      <c r="AZ36">
        <v>9.2639220750606466</v>
      </c>
      <c r="BA36">
        <v>170.75214111233339</v>
      </c>
      <c r="BB36">
        <v>152.77759378364661</v>
      </c>
      <c r="BC36">
        <v>89.473310723019367</v>
      </c>
      <c r="BD36">
        <v>10.87083739773631</v>
      </c>
      <c r="BE36">
        <v>178.41672062030591</v>
      </c>
      <c r="BF36">
        <v>163.20369410099869</v>
      </c>
      <c r="BG36">
        <v>91.473317934319326</v>
      </c>
      <c r="BH36">
        <v>0.81848932282601194</v>
      </c>
      <c r="BI36">
        <v>9.7842220277524095E-2</v>
      </c>
      <c r="BJ36">
        <v>0.82476661411536079</v>
      </c>
      <c r="BK36">
        <v>0.1044423230924957</v>
      </c>
      <c r="BL36">
        <v>0.82803530257666547</v>
      </c>
      <c r="BM36">
        <v>9.2017421911712804E-2</v>
      </c>
      <c r="BN36">
        <v>0.83439769643010553</v>
      </c>
      <c r="BO36">
        <v>9.0885890621079102E-2</v>
      </c>
      <c r="BP36">
        <v>0.8304372034771762</v>
      </c>
      <c r="BQ36">
        <v>9.4946511416004797E-2</v>
      </c>
      <c r="BR36">
        <v>0.82827918258880295</v>
      </c>
      <c r="BS36">
        <v>9.5326002677757593E-2</v>
      </c>
    </row>
    <row r="37" spans="1:71" x14ac:dyDescent="0.3">
      <c r="A37" t="s">
        <v>276</v>
      </c>
      <c r="B37" t="s">
        <v>83</v>
      </c>
      <c r="C37" t="s">
        <v>287</v>
      </c>
      <c r="D37" t="s">
        <v>256</v>
      </c>
      <c r="E37" s="2">
        <v>43357</v>
      </c>
      <c r="F37" s="2">
        <v>0.62708333333284827</v>
      </c>
      <c r="G37">
        <v>95</v>
      </c>
      <c r="H37" s="2">
        <v>43396</v>
      </c>
      <c r="I37" s="2">
        <v>0.33819444444452529</v>
      </c>
      <c r="J37" t="s">
        <v>86</v>
      </c>
      <c r="K37">
        <v>561</v>
      </c>
      <c r="L37" t="s">
        <v>70</v>
      </c>
      <c r="M37" t="s">
        <v>123</v>
      </c>
      <c r="N37" t="s">
        <v>288</v>
      </c>
      <c r="O37" t="s">
        <v>289</v>
      </c>
      <c r="P37" t="s">
        <v>290</v>
      </c>
      <c r="Q37" t="s">
        <v>291</v>
      </c>
      <c r="R37">
        <v>12.63482280431433</v>
      </c>
      <c r="S37">
        <v>0</v>
      </c>
      <c r="T37" s="6">
        <f t="shared" si="0"/>
        <v>12.63482280431433</v>
      </c>
      <c r="U37" s="6">
        <v>12.585254952906791</v>
      </c>
      <c r="V37" s="6">
        <v>0</v>
      </c>
      <c r="W37" s="6">
        <f t="shared" si="1"/>
        <v>12.585254952906791</v>
      </c>
      <c r="X37" s="6">
        <v>13.202672605790649</v>
      </c>
      <c r="Y37" s="6">
        <v>8.9086859688195987E-3</v>
      </c>
      <c r="Z37" s="6">
        <f t="shared" si="2"/>
        <v>13.211581291759469</v>
      </c>
      <c r="AA37" s="6">
        <v>15.576901471744749</v>
      </c>
      <c r="AB37" s="6">
        <v>0.10111223458038419</v>
      </c>
      <c r="AC37" s="6">
        <f t="shared" si="3"/>
        <v>15.678013706325133</v>
      </c>
      <c r="AD37" s="6">
        <v>16.74971993664774</v>
      </c>
      <c r="AE37" s="6">
        <v>0.13906594043342221</v>
      </c>
      <c r="AF37" s="6">
        <f t="shared" si="4"/>
        <v>16.888785877081162</v>
      </c>
      <c r="AG37" s="6">
        <v>17.69826736160023</v>
      </c>
      <c r="AH37" s="6">
        <v>0.1746724890829694</v>
      </c>
      <c r="AI37" s="6">
        <f t="shared" si="5"/>
        <v>17.872939850683199</v>
      </c>
      <c r="AJ37">
        <v>5.2832543922932702</v>
      </c>
      <c r="AK37" s="3">
        <v>171.08355435917849</v>
      </c>
      <c r="AL37">
        <v>101.6172512019332</v>
      </c>
      <c r="AM37">
        <v>59.396270776906228</v>
      </c>
      <c r="AN37">
        <v>12.46719176717575</v>
      </c>
      <c r="AO37">
        <v>322.46508094543782</v>
      </c>
      <c r="AP37">
        <v>334.71670122190659</v>
      </c>
      <c r="AQ37">
        <v>103.79936340410821</v>
      </c>
      <c r="AR37">
        <v>9.1874604406323996</v>
      </c>
      <c r="AS37">
        <v>162.7518796077494</v>
      </c>
      <c r="AT37">
        <v>128.6066054973781</v>
      </c>
      <c r="AU37">
        <v>79.020043152395345</v>
      </c>
      <c r="AV37">
        <v>7.2509652876122388</v>
      </c>
      <c r="AW37">
        <v>164.59418791640661</v>
      </c>
      <c r="AX37">
        <v>125.7698900538567</v>
      </c>
      <c r="AY37">
        <v>76.412108863608339</v>
      </c>
      <c r="AZ37">
        <v>9.2639220750606466</v>
      </c>
      <c r="BA37">
        <v>170.75214111233339</v>
      </c>
      <c r="BB37">
        <v>152.77759378364661</v>
      </c>
      <c r="BC37">
        <v>89.473310723019367</v>
      </c>
      <c r="BD37">
        <v>10.87083739773631</v>
      </c>
      <c r="BE37">
        <v>178.41672062030591</v>
      </c>
      <c r="BF37">
        <v>163.20369410099869</v>
      </c>
      <c r="BG37">
        <v>91.473317934319326</v>
      </c>
      <c r="BH37">
        <v>0.81848932282601194</v>
      </c>
      <c r="BI37">
        <v>9.7842220277524095E-2</v>
      </c>
      <c r="BJ37">
        <v>0.82476661411536079</v>
      </c>
      <c r="BK37">
        <v>0.1044423230924957</v>
      </c>
      <c r="BL37">
        <v>0.82803530257666547</v>
      </c>
      <c r="BM37">
        <v>9.2017421911712804E-2</v>
      </c>
      <c r="BN37">
        <v>0.83439769643010553</v>
      </c>
      <c r="BO37">
        <v>9.0885890621079102E-2</v>
      </c>
      <c r="BP37">
        <v>0.8304372034771762</v>
      </c>
      <c r="BQ37">
        <v>9.4946511416004797E-2</v>
      </c>
      <c r="BR37">
        <v>0.82827918258880295</v>
      </c>
      <c r="BS37">
        <v>9.5326002677757593E-2</v>
      </c>
    </row>
    <row r="38" spans="1:71" x14ac:dyDescent="0.3">
      <c r="A38" t="s">
        <v>292</v>
      </c>
      <c r="B38" t="s">
        <v>66</v>
      </c>
      <c r="C38" t="s">
        <v>142</v>
      </c>
      <c r="D38" t="s">
        <v>293</v>
      </c>
      <c r="E38" s="2">
        <v>42977</v>
      </c>
      <c r="F38" s="2">
        <v>0.53819444444525288</v>
      </c>
      <c r="G38">
        <v>90</v>
      </c>
      <c r="H38" s="2">
        <v>43006</v>
      </c>
      <c r="I38" s="2">
        <v>0.32222222222117131</v>
      </c>
      <c r="J38" t="s">
        <v>144</v>
      </c>
      <c r="K38">
        <v>231</v>
      </c>
      <c r="L38" t="s">
        <v>70</v>
      </c>
      <c r="M38" t="s">
        <v>188</v>
      </c>
      <c r="N38" t="s">
        <v>294</v>
      </c>
      <c r="O38" t="s">
        <v>295</v>
      </c>
      <c r="P38" t="s">
        <v>296</v>
      </c>
      <c r="R38">
        <v>2.474864655839133</v>
      </c>
      <c r="S38">
        <v>0.30935808197989167</v>
      </c>
      <c r="T38" s="6">
        <f t="shared" si="0"/>
        <v>2.7842227378190247</v>
      </c>
      <c r="U38" s="6">
        <v>1.987294347613618</v>
      </c>
      <c r="V38" s="6">
        <v>0.13031438345007329</v>
      </c>
      <c r="W38" s="6">
        <f t="shared" si="1"/>
        <v>2.1176087310636911</v>
      </c>
      <c r="X38" s="6">
        <v>1.5166384155589261</v>
      </c>
      <c r="Y38" s="6">
        <v>7.1371219555714155E-2</v>
      </c>
      <c r="Z38" s="6">
        <f t="shared" si="2"/>
        <v>1.5880096351146402</v>
      </c>
      <c r="AA38" s="6">
        <v>1.703204047217538</v>
      </c>
      <c r="AB38" s="6">
        <v>0.15177065767284989</v>
      </c>
      <c r="AC38" s="6">
        <f t="shared" si="3"/>
        <v>1.854974704890388</v>
      </c>
      <c r="AD38" s="6">
        <v>1.9867805651115149</v>
      </c>
      <c r="AE38" s="6">
        <v>0.54114645742336975</v>
      </c>
      <c r="AF38" s="6">
        <f t="shared" si="4"/>
        <v>2.5279270225348847</v>
      </c>
      <c r="AG38" s="6">
        <v>2.1063613805549291</v>
      </c>
      <c r="AH38" s="6">
        <v>0.6400857207308821</v>
      </c>
      <c r="AI38" s="6">
        <f t="shared" si="5"/>
        <v>2.7464471012858112</v>
      </c>
      <c r="AJ38">
        <v>1.9328979483999711</v>
      </c>
      <c r="AK38" s="3">
        <v>670.10878454279555</v>
      </c>
      <c r="AL38">
        <v>46.262653529876879</v>
      </c>
      <c r="AM38">
        <v>6.9037527334373241</v>
      </c>
      <c r="AN38">
        <v>2.6174659717912561</v>
      </c>
      <c r="AO38">
        <v>708.81888387714378</v>
      </c>
      <c r="AP38">
        <v>86.143538564032454</v>
      </c>
      <c r="AQ38">
        <v>12.153109986692071</v>
      </c>
      <c r="AR38">
        <v>2.0479513977095798</v>
      </c>
      <c r="AS38">
        <v>822.71075498994003</v>
      </c>
      <c r="AT38">
        <v>190.03983636548691</v>
      </c>
      <c r="AU38">
        <v>23.09922839987799</v>
      </c>
      <c r="AV38">
        <v>1.771823119366565</v>
      </c>
      <c r="AW38">
        <v>487.06267046749042</v>
      </c>
      <c r="AX38">
        <v>312.96331005114553</v>
      </c>
      <c r="AY38">
        <v>64.255244556261786</v>
      </c>
      <c r="AZ38">
        <v>2.6295465839688101</v>
      </c>
      <c r="BA38">
        <v>358.48822633230918</v>
      </c>
      <c r="BB38">
        <v>246.08004499206149</v>
      </c>
      <c r="BC38">
        <v>68.643828978626402</v>
      </c>
      <c r="BD38">
        <v>2.377073992097571</v>
      </c>
      <c r="BE38">
        <v>316.73465837029039</v>
      </c>
      <c r="BF38">
        <v>274.75115595572521</v>
      </c>
      <c r="BG38">
        <v>86.744897880584034</v>
      </c>
      <c r="BH38">
        <v>0.77243736252282191</v>
      </c>
      <c r="BI38">
        <v>0.1146588331486644</v>
      </c>
      <c r="BJ38">
        <v>0.77264093932545974</v>
      </c>
      <c r="BK38">
        <v>0.1009355363031019</v>
      </c>
      <c r="BL38">
        <v>0.77700350924069472</v>
      </c>
      <c r="BM38">
        <v>9.0954550690585598E-2</v>
      </c>
      <c r="BN38">
        <v>0.79819137394556106</v>
      </c>
      <c r="BO38">
        <v>8.7837272363922705E-2</v>
      </c>
      <c r="BP38">
        <v>0.78160592778952309</v>
      </c>
      <c r="BQ38">
        <v>9.6500859207759498E-2</v>
      </c>
      <c r="BR38">
        <v>0.77238380725639</v>
      </c>
      <c r="BS38">
        <v>9.4353532145195707E-2</v>
      </c>
    </row>
    <row r="39" spans="1:71" x14ac:dyDescent="0.3">
      <c r="A39" t="s">
        <v>292</v>
      </c>
      <c r="B39" t="s">
        <v>76</v>
      </c>
      <c r="C39" t="s">
        <v>136</v>
      </c>
      <c r="D39" t="s">
        <v>297</v>
      </c>
      <c r="E39" s="2">
        <v>42977</v>
      </c>
      <c r="F39" s="2">
        <v>0.6124999999992724</v>
      </c>
      <c r="G39">
        <v>83</v>
      </c>
      <c r="H39" s="2">
        <v>43006</v>
      </c>
      <c r="I39" s="2">
        <v>0.30833333333430352</v>
      </c>
      <c r="J39" t="s">
        <v>298</v>
      </c>
      <c r="K39">
        <v>193</v>
      </c>
      <c r="L39" t="s">
        <v>70</v>
      </c>
      <c r="M39" t="s">
        <v>299</v>
      </c>
      <c r="N39" t="s">
        <v>300</v>
      </c>
      <c r="O39" t="s">
        <v>301</v>
      </c>
      <c r="P39" t="s">
        <v>302</v>
      </c>
      <c r="R39">
        <v>2.474864655839133</v>
      </c>
      <c r="S39">
        <v>0.30935808197989167</v>
      </c>
      <c r="T39" s="6">
        <f t="shared" si="0"/>
        <v>2.7842227378190247</v>
      </c>
      <c r="U39" s="6">
        <v>1.987294347613618</v>
      </c>
      <c r="V39" s="6">
        <v>0.13031438345007329</v>
      </c>
      <c r="W39" s="6">
        <f t="shared" si="1"/>
        <v>2.1176087310636911</v>
      </c>
      <c r="X39" s="6">
        <v>1.5166384155589261</v>
      </c>
      <c r="Y39" s="6">
        <v>7.1371219555714155E-2</v>
      </c>
      <c r="Z39" s="6">
        <f t="shared" si="2"/>
        <v>1.5880096351146402</v>
      </c>
      <c r="AA39" s="6">
        <v>1.703204047217538</v>
      </c>
      <c r="AB39" s="6">
        <v>0.15177065767284989</v>
      </c>
      <c r="AC39" s="6">
        <f t="shared" si="3"/>
        <v>1.854974704890388</v>
      </c>
      <c r="AD39" s="6">
        <v>1.9867805651115149</v>
      </c>
      <c r="AE39" s="6">
        <v>0.54114645742336975</v>
      </c>
      <c r="AF39" s="6">
        <f t="shared" si="4"/>
        <v>2.5279270225348847</v>
      </c>
      <c r="AG39" s="6">
        <v>2.1063613805549291</v>
      </c>
      <c r="AH39" s="6">
        <v>0.6400857207308821</v>
      </c>
      <c r="AI39" s="6">
        <f t="shared" si="5"/>
        <v>2.7464471012858112</v>
      </c>
      <c r="AJ39">
        <v>1.9328979483999711</v>
      </c>
      <c r="AK39" s="3">
        <v>670.10878454279555</v>
      </c>
      <c r="AL39">
        <v>46.262653529876879</v>
      </c>
      <c r="AM39">
        <v>6.9037527334373241</v>
      </c>
      <c r="AN39">
        <v>2.6174659717912561</v>
      </c>
      <c r="AO39">
        <v>708.81888387714378</v>
      </c>
      <c r="AP39">
        <v>86.143538564032454</v>
      </c>
      <c r="AQ39">
        <v>12.153109986692071</v>
      </c>
      <c r="AR39">
        <v>2.0479513977095798</v>
      </c>
      <c r="AS39">
        <v>822.71075498994003</v>
      </c>
      <c r="AT39">
        <v>190.03983636548691</v>
      </c>
      <c r="AU39">
        <v>23.09922839987799</v>
      </c>
      <c r="AV39">
        <v>1.771823119366565</v>
      </c>
      <c r="AW39">
        <v>487.06267046749042</v>
      </c>
      <c r="AX39">
        <v>312.96331005114553</v>
      </c>
      <c r="AY39">
        <v>64.255244556261786</v>
      </c>
      <c r="AZ39">
        <v>2.6295465839688101</v>
      </c>
      <c r="BA39">
        <v>358.48822633230918</v>
      </c>
      <c r="BB39">
        <v>246.08004499206149</v>
      </c>
      <c r="BC39">
        <v>68.643828978626402</v>
      </c>
      <c r="BD39">
        <v>2.377073992097571</v>
      </c>
      <c r="BE39">
        <v>316.73465837029039</v>
      </c>
      <c r="BF39">
        <v>274.75115595572521</v>
      </c>
      <c r="BG39">
        <v>86.744897880584034</v>
      </c>
      <c r="BH39">
        <v>0.77243736252282191</v>
      </c>
      <c r="BI39">
        <v>0.1146588331486644</v>
      </c>
      <c r="BJ39">
        <v>0.77264093932545974</v>
      </c>
      <c r="BK39">
        <v>0.1009355363031019</v>
      </c>
      <c r="BL39">
        <v>0.77700350924069472</v>
      </c>
      <c r="BM39">
        <v>9.0954550690585598E-2</v>
      </c>
      <c r="BN39">
        <v>0.79819137394556106</v>
      </c>
      <c r="BO39">
        <v>8.7837272363922705E-2</v>
      </c>
      <c r="BP39">
        <v>0.78160592778952309</v>
      </c>
      <c r="BQ39">
        <v>9.6500859207759498E-2</v>
      </c>
      <c r="BR39">
        <v>0.77238380725639</v>
      </c>
      <c r="BS39">
        <v>9.4353532145195707E-2</v>
      </c>
    </row>
    <row r="40" spans="1:71" x14ac:dyDescent="0.3">
      <c r="A40" t="s">
        <v>292</v>
      </c>
      <c r="B40" t="s">
        <v>83</v>
      </c>
      <c r="C40" t="s">
        <v>303</v>
      </c>
      <c r="D40" t="s">
        <v>256</v>
      </c>
      <c r="E40" s="2">
        <v>42977</v>
      </c>
      <c r="F40" s="2">
        <v>0.70763888888905058</v>
      </c>
      <c r="G40">
        <v>95</v>
      </c>
      <c r="H40" s="2">
        <v>43006</v>
      </c>
      <c r="I40" s="2">
        <v>0.29930555555620231</v>
      </c>
      <c r="J40" t="s">
        <v>144</v>
      </c>
      <c r="K40">
        <v>170</v>
      </c>
      <c r="L40" t="s">
        <v>207</v>
      </c>
      <c r="M40" t="s">
        <v>304</v>
      </c>
      <c r="N40" t="s">
        <v>305</v>
      </c>
      <c r="O40" t="s">
        <v>306</v>
      </c>
      <c r="P40" t="s">
        <v>307</v>
      </c>
      <c r="R40">
        <v>2.474864655839133</v>
      </c>
      <c r="S40">
        <v>0.30935808197989167</v>
      </c>
      <c r="T40" s="6">
        <f t="shared" si="0"/>
        <v>2.7842227378190247</v>
      </c>
      <c r="U40" s="6">
        <v>1.987294347613618</v>
      </c>
      <c r="V40" s="6">
        <v>0.13031438345007329</v>
      </c>
      <c r="W40" s="6">
        <f t="shared" si="1"/>
        <v>2.1176087310636911</v>
      </c>
      <c r="X40" s="6">
        <v>1.5166384155589261</v>
      </c>
      <c r="Y40" s="6">
        <v>7.1371219555714155E-2</v>
      </c>
      <c r="Z40" s="6">
        <f t="shared" si="2"/>
        <v>1.5880096351146402</v>
      </c>
      <c r="AA40" s="6">
        <v>1.703204047217538</v>
      </c>
      <c r="AB40" s="6">
        <v>0.15177065767284989</v>
      </c>
      <c r="AC40" s="6">
        <f t="shared" si="3"/>
        <v>1.854974704890388</v>
      </c>
      <c r="AD40" s="6">
        <v>1.9867805651115149</v>
      </c>
      <c r="AE40" s="6">
        <v>0.54114645742336975</v>
      </c>
      <c r="AF40" s="6">
        <f t="shared" si="4"/>
        <v>2.5279270225348847</v>
      </c>
      <c r="AG40" s="6">
        <v>2.1063613805549291</v>
      </c>
      <c r="AH40" s="6">
        <v>0.6400857207308821</v>
      </c>
      <c r="AI40" s="6">
        <f t="shared" si="5"/>
        <v>2.7464471012858112</v>
      </c>
      <c r="AJ40">
        <v>1.9328979483999711</v>
      </c>
      <c r="AK40" s="3">
        <v>670.10878454279555</v>
      </c>
      <c r="AL40">
        <v>46.262653529876879</v>
      </c>
      <c r="AM40">
        <v>6.9037527334373241</v>
      </c>
      <c r="AN40">
        <v>2.6174659717912561</v>
      </c>
      <c r="AO40">
        <v>708.81888387714378</v>
      </c>
      <c r="AP40">
        <v>86.143538564032454</v>
      </c>
      <c r="AQ40">
        <v>12.153109986692071</v>
      </c>
      <c r="AR40">
        <v>2.0479513977095798</v>
      </c>
      <c r="AS40">
        <v>822.71075498994003</v>
      </c>
      <c r="AT40">
        <v>190.03983636548691</v>
      </c>
      <c r="AU40">
        <v>23.09922839987799</v>
      </c>
      <c r="AV40">
        <v>1.771823119366565</v>
      </c>
      <c r="AW40">
        <v>487.06267046749042</v>
      </c>
      <c r="AX40">
        <v>312.96331005114553</v>
      </c>
      <c r="AY40">
        <v>64.255244556261786</v>
      </c>
      <c r="AZ40">
        <v>2.6295465839688101</v>
      </c>
      <c r="BA40">
        <v>358.48822633230918</v>
      </c>
      <c r="BB40">
        <v>246.08004499206149</v>
      </c>
      <c r="BC40">
        <v>68.643828978626402</v>
      </c>
      <c r="BD40">
        <v>2.377073992097571</v>
      </c>
      <c r="BE40">
        <v>316.73465837029039</v>
      </c>
      <c r="BF40">
        <v>274.75115595572521</v>
      </c>
      <c r="BG40">
        <v>86.744897880584034</v>
      </c>
      <c r="BH40">
        <v>0.77243736252282191</v>
      </c>
      <c r="BI40">
        <v>0.1146588331486644</v>
      </c>
      <c r="BJ40">
        <v>0.77264093932545974</v>
      </c>
      <c r="BK40">
        <v>0.1009355363031019</v>
      </c>
      <c r="BL40">
        <v>0.77700350924069472</v>
      </c>
      <c r="BM40">
        <v>9.0954550690585598E-2</v>
      </c>
      <c r="BN40">
        <v>0.79819137394556106</v>
      </c>
      <c r="BO40">
        <v>8.7837272363922705E-2</v>
      </c>
      <c r="BP40">
        <v>0.78160592778952309</v>
      </c>
      <c r="BQ40">
        <v>9.6500859207759498E-2</v>
      </c>
      <c r="BR40">
        <v>0.77238380725639</v>
      </c>
      <c r="BS40">
        <v>9.4353532145195707E-2</v>
      </c>
    </row>
    <row r="41" spans="1:71" x14ac:dyDescent="0.3">
      <c r="A41" t="s">
        <v>308</v>
      </c>
      <c r="B41" t="s">
        <v>66</v>
      </c>
      <c r="C41" t="s">
        <v>309</v>
      </c>
      <c r="D41" t="s">
        <v>310</v>
      </c>
      <c r="E41" s="2">
        <v>43257</v>
      </c>
      <c r="F41" s="2">
        <v>0.43402777777737361</v>
      </c>
      <c r="G41">
        <v>99</v>
      </c>
      <c r="H41" s="2">
        <v>43285</v>
      </c>
      <c r="I41" s="2">
        <v>0.3125</v>
      </c>
      <c r="J41" t="s">
        <v>137</v>
      </c>
      <c r="K41">
        <v>218</v>
      </c>
      <c r="L41" t="s">
        <v>177</v>
      </c>
      <c r="M41" t="s">
        <v>184</v>
      </c>
      <c r="N41" t="s">
        <v>311</v>
      </c>
      <c r="O41" t="s">
        <v>312</v>
      </c>
      <c r="P41" t="s">
        <v>313</v>
      </c>
      <c r="Q41" t="s">
        <v>314</v>
      </c>
      <c r="R41">
        <v>8.507347254447021</v>
      </c>
      <c r="S41">
        <v>0</v>
      </c>
      <c r="T41" s="6">
        <f t="shared" si="0"/>
        <v>8.507347254447021</v>
      </c>
      <c r="U41" s="6">
        <v>8.2222944426389351</v>
      </c>
      <c r="V41" s="6">
        <v>0</v>
      </c>
      <c r="W41" s="6">
        <f t="shared" si="1"/>
        <v>8.2222944426389351</v>
      </c>
      <c r="X41" s="6">
        <v>8.9660094566865904</v>
      </c>
      <c r="Y41" s="6">
        <v>0</v>
      </c>
      <c r="Z41" s="6">
        <f t="shared" si="2"/>
        <v>8.9660094566865904</v>
      </c>
      <c r="AA41" s="6">
        <v>8.4428715874620828</v>
      </c>
      <c r="AB41" s="6">
        <v>0</v>
      </c>
      <c r="AC41" s="6">
        <f t="shared" si="3"/>
        <v>8.4428715874620828</v>
      </c>
      <c r="AD41" s="6">
        <v>10.10628019323671</v>
      </c>
      <c r="AE41" s="6">
        <v>0</v>
      </c>
      <c r="AF41" s="6">
        <f t="shared" si="4"/>
        <v>10.10628019323671</v>
      </c>
      <c r="AG41" s="6">
        <v>11.76934783834057</v>
      </c>
      <c r="AH41" s="6">
        <v>0</v>
      </c>
      <c r="AI41" s="6">
        <f t="shared" si="5"/>
        <v>11.76934783834057</v>
      </c>
      <c r="AJ41">
        <v>5.9060770645554648</v>
      </c>
      <c r="AK41" s="3">
        <v>419.12067038052891</v>
      </c>
      <c r="AL41">
        <v>283.55168044869453</v>
      </c>
      <c r="AM41">
        <v>67.653948012454663</v>
      </c>
      <c r="AN41">
        <v>3.3825714096988482</v>
      </c>
      <c r="AO41">
        <v>150.97779112752451</v>
      </c>
      <c r="AP41">
        <v>99.185695381838698</v>
      </c>
      <c r="AQ41">
        <v>65.695553393055533</v>
      </c>
      <c r="AR41">
        <v>5.0537227609210156</v>
      </c>
      <c r="AS41">
        <v>154.20565037168461</v>
      </c>
      <c r="AT41">
        <v>111.9892925803305</v>
      </c>
      <c r="AU41">
        <v>72.623339229399619</v>
      </c>
      <c r="AV41">
        <v>5.262944957327389</v>
      </c>
      <c r="AW41">
        <v>239.63301282332159</v>
      </c>
      <c r="AX41">
        <v>236.59315932205041</v>
      </c>
      <c r="AY41">
        <v>98.731454624946679</v>
      </c>
      <c r="AZ41">
        <v>5.2651334740263982</v>
      </c>
      <c r="BA41">
        <v>227.75944765161901</v>
      </c>
      <c r="BB41">
        <v>194.69477023414919</v>
      </c>
      <c r="BC41">
        <v>85.482631891500901</v>
      </c>
      <c r="BD41">
        <v>5.6963157758977419</v>
      </c>
      <c r="BE41">
        <v>196.69299174319269</v>
      </c>
      <c r="BF41">
        <v>141.98310603176779</v>
      </c>
      <c r="BG41">
        <v>72.185137240245183</v>
      </c>
      <c r="BH41">
        <v>0.8201358615470653</v>
      </c>
      <c r="BI41">
        <v>7.2364090146272805E-2</v>
      </c>
      <c r="BJ41">
        <v>0.81289589604635182</v>
      </c>
      <c r="BK41">
        <v>8.8353226428155296E-2</v>
      </c>
      <c r="BL41">
        <v>0.80787649786698768</v>
      </c>
      <c r="BM41">
        <v>8.9777767133329703E-2</v>
      </c>
      <c r="BN41">
        <v>0.80849546202956246</v>
      </c>
      <c r="BO41">
        <v>8.7716970570847999E-2</v>
      </c>
      <c r="BP41">
        <v>0.81763068262585992</v>
      </c>
      <c r="BQ41">
        <v>8.0034131720528007E-2</v>
      </c>
      <c r="BR41">
        <v>0.81586815846836591</v>
      </c>
      <c r="BS41">
        <v>8.4324300308669095E-2</v>
      </c>
    </row>
    <row r="42" spans="1:71" x14ac:dyDescent="0.3">
      <c r="A42" t="s">
        <v>308</v>
      </c>
      <c r="B42" t="s">
        <v>76</v>
      </c>
      <c r="C42" t="s">
        <v>136</v>
      </c>
      <c r="D42" t="s">
        <v>315</v>
      </c>
      <c r="E42" s="2">
        <v>43257</v>
      </c>
      <c r="F42" s="2">
        <v>0.50208333333284827</v>
      </c>
      <c r="G42">
        <v>99</v>
      </c>
      <c r="H42" s="2">
        <v>43285</v>
      </c>
      <c r="I42" s="2">
        <v>0.33680555555474712</v>
      </c>
      <c r="J42" t="s">
        <v>316</v>
      </c>
      <c r="K42">
        <v>174</v>
      </c>
      <c r="L42" t="s">
        <v>177</v>
      </c>
      <c r="M42" t="s">
        <v>184</v>
      </c>
      <c r="N42" t="s">
        <v>317</v>
      </c>
      <c r="O42" t="s">
        <v>318</v>
      </c>
      <c r="P42" t="s">
        <v>319</v>
      </c>
      <c r="Q42" t="s">
        <v>320</v>
      </c>
      <c r="R42">
        <v>8.507347254447021</v>
      </c>
      <c r="S42">
        <v>0</v>
      </c>
      <c r="T42" s="6">
        <f t="shared" si="0"/>
        <v>8.507347254447021</v>
      </c>
      <c r="U42" s="6">
        <v>8.2222944426389351</v>
      </c>
      <c r="V42" s="6">
        <v>0</v>
      </c>
      <c r="W42" s="6">
        <f t="shared" si="1"/>
        <v>8.2222944426389351</v>
      </c>
      <c r="X42" s="6">
        <v>8.9660094566865904</v>
      </c>
      <c r="Y42" s="6">
        <v>0</v>
      </c>
      <c r="Z42" s="6">
        <f t="shared" si="2"/>
        <v>8.9660094566865904</v>
      </c>
      <c r="AA42" s="6">
        <v>8.4428715874620828</v>
      </c>
      <c r="AB42" s="6">
        <v>0</v>
      </c>
      <c r="AC42" s="6">
        <f t="shared" si="3"/>
        <v>8.4428715874620828</v>
      </c>
      <c r="AD42" s="6">
        <v>10.10628019323671</v>
      </c>
      <c r="AE42" s="6">
        <v>0</v>
      </c>
      <c r="AF42" s="6">
        <f t="shared" si="4"/>
        <v>10.10628019323671</v>
      </c>
      <c r="AG42" s="6">
        <v>11.76934783834057</v>
      </c>
      <c r="AH42" s="6">
        <v>0</v>
      </c>
      <c r="AI42" s="6">
        <f t="shared" si="5"/>
        <v>11.76934783834057</v>
      </c>
      <c r="AJ42">
        <v>5.9060770645554648</v>
      </c>
      <c r="AK42" s="3">
        <v>419.12067038052891</v>
      </c>
      <c r="AL42">
        <v>283.55168044869453</v>
      </c>
      <c r="AM42">
        <v>67.653948012454663</v>
      </c>
      <c r="AN42">
        <v>3.3825714096988482</v>
      </c>
      <c r="AO42">
        <v>150.97779112752451</v>
      </c>
      <c r="AP42">
        <v>99.185695381838698</v>
      </c>
      <c r="AQ42">
        <v>65.695553393055533</v>
      </c>
      <c r="AR42">
        <v>5.0537227609210156</v>
      </c>
      <c r="AS42">
        <v>154.20565037168461</v>
      </c>
      <c r="AT42">
        <v>111.9892925803305</v>
      </c>
      <c r="AU42">
        <v>72.623339229399619</v>
      </c>
      <c r="AV42">
        <v>5.262944957327389</v>
      </c>
      <c r="AW42">
        <v>239.63301282332159</v>
      </c>
      <c r="AX42">
        <v>236.59315932205041</v>
      </c>
      <c r="AY42">
        <v>98.731454624946679</v>
      </c>
      <c r="AZ42">
        <v>5.2651334740263982</v>
      </c>
      <c r="BA42">
        <v>227.75944765161901</v>
      </c>
      <c r="BB42">
        <v>194.69477023414919</v>
      </c>
      <c r="BC42">
        <v>85.482631891500901</v>
      </c>
      <c r="BD42">
        <v>5.6963157758977419</v>
      </c>
      <c r="BE42">
        <v>196.69299174319269</v>
      </c>
      <c r="BF42">
        <v>141.98310603176779</v>
      </c>
      <c r="BG42">
        <v>72.185137240245183</v>
      </c>
      <c r="BH42">
        <v>0.8201358615470653</v>
      </c>
      <c r="BI42">
        <v>7.2364090146272805E-2</v>
      </c>
      <c r="BJ42">
        <v>0.81289589604635182</v>
      </c>
      <c r="BK42">
        <v>8.8353226428155296E-2</v>
      </c>
      <c r="BL42">
        <v>0.80787649786698768</v>
      </c>
      <c r="BM42">
        <v>8.9777767133329703E-2</v>
      </c>
      <c r="BN42">
        <v>0.80849546202956246</v>
      </c>
      <c r="BO42">
        <v>8.7716970570847999E-2</v>
      </c>
      <c r="BP42">
        <v>0.81763068262585992</v>
      </c>
      <c r="BQ42">
        <v>8.0034131720528007E-2</v>
      </c>
      <c r="BR42">
        <v>0.81586815846836591</v>
      </c>
      <c r="BS42">
        <v>8.4324300308669095E-2</v>
      </c>
    </row>
    <row r="43" spans="1:71" x14ac:dyDescent="0.3">
      <c r="A43" t="s">
        <v>308</v>
      </c>
      <c r="B43" t="s">
        <v>83</v>
      </c>
      <c r="C43" t="s">
        <v>182</v>
      </c>
      <c r="D43" t="s">
        <v>321</v>
      </c>
      <c r="E43" s="2">
        <v>43257</v>
      </c>
      <c r="F43" s="2">
        <v>0.62361111111022183</v>
      </c>
      <c r="G43">
        <v>99</v>
      </c>
      <c r="H43" s="2">
        <v>43285</v>
      </c>
      <c r="I43" s="2">
        <v>0.35416666666787933</v>
      </c>
      <c r="J43" t="s">
        <v>130</v>
      </c>
      <c r="K43">
        <v>192</v>
      </c>
      <c r="L43" t="s">
        <v>177</v>
      </c>
      <c r="M43" t="s">
        <v>184</v>
      </c>
      <c r="N43" t="s">
        <v>322</v>
      </c>
      <c r="O43" t="s">
        <v>323</v>
      </c>
      <c r="R43">
        <v>8.507347254447021</v>
      </c>
      <c r="S43">
        <v>0</v>
      </c>
      <c r="T43" s="6">
        <f t="shared" si="0"/>
        <v>8.507347254447021</v>
      </c>
      <c r="U43" s="6">
        <v>8.2222944426389351</v>
      </c>
      <c r="V43" s="6">
        <v>0</v>
      </c>
      <c r="W43" s="6">
        <f t="shared" si="1"/>
        <v>8.2222944426389351</v>
      </c>
      <c r="X43" s="6">
        <v>8.9660094566865904</v>
      </c>
      <c r="Y43" s="6">
        <v>0</v>
      </c>
      <c r="Z43" s="6">
        <f t="shared" si="2"/>
        <v>8.9660094566865904</v>
      </c>
      <c r="AA43" s="6">
        <v>8.4428715874620828</v>
      </c>
      <c r="AB43" s="6">
        <v>0</v>
      </c>
      <c r="AC43" s="6">
        <f t="shared" si="3"/>
        <v>8.4428715874620828</v>
      </c>
      <c r="AD43" s="6">
        <v>10.10628019323671</v>
      </c>
      <c r="AE43" s="6">
        <v>0</v>
      </c>
      <c r="AF43" s="6">
        <f t="shared" si="4"/>
        <v>10.10628019323671</v>
      </c>
      <c r="AG43" s="6">
        <v>11.76934783834057</v>
      </c>
      <c r="AH43" s="6">
        <v>0</v>
      </c>
      <c r="AI43" s="6">
        <f t="shared" si="5"/>
        <v>11.76934783834057</v>
      </c>
      <c r="AJ43">
        <v>5.9060770645554648</v>
      </c>
      <c r="AK43" s="3">
        <v>419.12067038052891</v>
      </c>
      <c r="AL43">
        <v>283.55168044869453</v>
      </c>
      <c r="AM43">
        <v>67.653948012454663</v>
      </c>
      <c r="AN43">
        <v>3.3825714096988482</v>
      </c>
      <c r="AO43">
        <v>150.97779112752451</v>
      </c>
      <c r="AP43">
        <v>99.185695381838698</v>
      </c>
      <c r="AQ43">
        <v>65.695553393055533</v>
      </c>
      <c r="AR43">
        <v>5.0537227609210156</v>
      </c>
      <c r="AS43">
        <v>154.20565037168461</v>
      </c>
      <c r="AT43">
        <v>111.9892925803305</v>
      </c>
      <c r="AU43">
        <v>72.623339229399619</v>
      </c>
      <c r="AV43">
        <v>5.262944957327389</v>
      </c>
      <c r="AW43">
        <v>239.63301282332159</v>
      </c>
      <c r="AX43">
        <v>236.59315932205041</v>
      </c>
      <c r="AY43">
        <v>98.731454624946679</v>
      </c>
      <c r="AZ43">
        <v>5.2651334740263982</v>
      </c>
      <c r="BA43">
        <v>227.75944765161901</v>
      </c>
      <c r="BB43">
        <v>194.69477023414919</v>
      </c>
      <c r="BC43">
        <v>85.482631891500901</v>
      </c>
      <c r="BD43">
        <v>5.6963157758977419</v>
      </c>
      <c r="BE43">
        <v>196.69299174319269</v>
      </c>
      <c r="BF43">
        <v>141.98310603176779</v>
      </c>
      <c r="BG43">
        <v>72.185137240245183</v>
      </c>
      <c r="BH43">
        <v>0.8201358615470653</v>
      </c>
      <c r="BI43">
        <v>7.2364090146272805E-2</v>
      </c>
      <c r="BJ43">
        <v>0.81289589604635182</v>
      </c>
      <c r="BK43">
        <v>8.8353226428155296E-2</v>
      </c>
      <c r="BL43">
        <v>0.80787649786698768</v>
      </c>
      <c r="BM43">
        <v>8.9777767133329703E-2</v>
      </c>
      <c r="BN43">
        <v>0.80849546202956246</v>
      </c>
      <c r="BO43">
        <v>8.7716970570847999E-2</v>
      </c>
      <c r="BP43">
        <v>0.81763068262585992</v>
      </c>
      <c r="BQ43">
        <v>8.0034131720528007E-2</v>
      </c>
      <c r="BR43">
        <v>0.81586815846836591</v>
      </c>
      <c r="BS43">
        <v>8.4324300308669095E-2</v>
      </c>
    </row>
    <row r="44" spans="1:71" x14ac:dyDescent="0.3">
      <c r="A44" t="s">
        <v>324</v>
      </c>
      <c r="B44" t="s">
        <v>66</v>
      </c>
      <c r="C44" t="s">
        <v>142</v>
      </c>
      <c r="D44" t="s">
        <v>325</v>
      </c>
      <c r="E44" s="2">
        <v>43259</v>
      </c>
      <c r="F44" s="2">
        <v>0.50208333333284827</v>
      </c>
      <c r="G44">
        <v>95</v>
      </c>
      <c r="H44" s="2">
        <v>43285</v>
      </c>
      <c r="I44" s="2">
        <v>0.55625000000145519</v>
      </c>
      <c r="J44" t="s">
        <v>86</v>
      </c>
      <c r="K44">
        <v>150</v>
      </c>
      <c r="L44" t="s">
        <v>157</v>
      </c>
      <c r="M44" t="s">
        <v>166</v>
      </c>
      <c r="N44" t="s">
        <v>326</v>
      </c>
      <c r="O44" t="s">
        <v>327</v>
      </c>
      <c r="P44" t="s">
        <v>328</v>
      </c>
      <c r="Q44" t="s">
        <v>329</v>
      </c>
      <c r="R44">
        <v>9.516441005802708</v>
      </c>
      <c r="S44">
        <v>0</v>
      </c>
      <c r="T44" s="6">
        <f t="shared" si="0"/>
        <v>9.516441005802708</v>
      </c>
      <c r="U44" s="6">
        <v>10.28265107212475</v>
      </c>
      <c r="V44" s="6">
        <v>0</v>
      </c>
      <c r="W44" s="6">
        <f t="shared" si="1"/>
        <v>10.28265107212475</v>
      </c>
      <c r="X44" s="6">
        <v>12.38843270260621</v>
      </c>
      <c r="Y44" s="6">
        <v>0</v>
      </c>
      <c r="Z44" s="6">
        <f t="shared" si="2"/>
        <v>12.38843270260621</v>
      </c>
      <c r="AA44" s="6">
        <v>14.54494382022472</v>
      </c>
      <c r="AB44" s="6">
        <v>0</v>
      </c>
      <c r="AC44" s="6">
        <f t="shared" si="3"/>
        <v>14.54494382022472</v>
      </c>
      <c r="AD44" s="6">
        <v>17.92810204870506</v>
      </c>
      <c r="AE44" s="6">
        <v>0</v>
      </c>
      <c r="AF44" s="6">
        <f t="shared" si="4"/>
        <v>17.92810204870506</v>
      </c>
      <c r="AG44" s="6">
        <v>17.657997802259729</v>
      </c>
      <c r="AH44" s="6">
        <v>0</v>
      </c>
      <c r="AI44" s="6">
        <f t="shared" si="5"/>
        <v>17.657997802259729</v>
      </c>
      <c r="AJ44">
        <v>2.8303148530142419</v>
      </c>
      <c r="AK44" s="3">
        <v>165.2006287393757</v>
      </c>
      <c r="AL44">
        <v>119.7288407095954</v>
      </c>
      <c r="AM44">
        <v>72.474809341362956</v>
      </c>
      <c r="AN44">
        <v>2.8322324105023049</v>
      </c>
      <c r="AO44">
        <v>131.51068099834129</v>
      </c>
      <c r="AP44">
        <v>103.11972960819379</v>
      </c>
      <c r="AQ44">
        <v>78.411676394173938</v>
      </c>
      <c r="AR44">
        <v>3.8519101356765759</v>
      </c>
      <c r="AS44">
        <v>129.31414770869469</v>
      </c>
      <c r="AT44">
        <v>97.554336932546462</v>
      </c>
      <c r="AU44">
        <v>75.439801956013824</v>
      </c>
      <c r="AV44">
        <v>4.6317961948693389</v>
      </c>
      <c r="AW44">
        <v>106.9858853158786</v>
      </c>
      <c r="AX44">
        <v>56.347157601652007</v>
      </c>
      <c r="AY44">
        <v>52.667842524540099</v>
      </c>
      <c r="AZ44">
        <v>6.4416045852201389</v>
      </c>
      <c r="BA44">
        <v>106.5971805987152</v>
      </c>
      <c r="BB44">
        <v>90.501665978832335</v>
      </c>
      <c r="BC44">
        <v>84.900618825488081</v>
      </c>
      <c r="BD44">
        <v>6.4677739042604019</v>
      </c>
      <c r="BE44">
        <v>110.486311994872</v>
      </c>
      <c r="BF44">
        <v>84.690064612321734</v>
      </c>
      <c r="BG44">
        <v>76.652087560178899</v>
      </c>
      <c r="BH44">
        <v>0.8149346726099721</v>
      </c>
      <c r="BI44">
        <v>8.7051887636219002E-2</v>
      </c>
      <c r="BJ44">
        <v>0.80566049241879534</v>
      </c>
      <c r="BK44">
        <v>8.8274932956208099E-2</v>
      </c>
      <c r="BL44">
        <v>0.81252914461226955</v>
      </c>
      <c r="BM44">
        <v>7.7390850092719399E-2</v>
      </c>
      <c r="BN44">
        <v>0.81314465008964076</v>
      </c>
      <c r="BO44">
        <v>7.6538088595395501E-2</v>
      </c>
      <c r="BP44">
        <v>0.81684863689910425</v>
      </c>
      <c r="BQ44">
        <v>7.3501178259101504E-2</v>
      </c>
      <c r="BR44">
        <v>0.81884802233118892</v>
      </c>
      <c r="BS44">
        <v>7.0936034040572707E-2</v>
      </c>
    </row>
    <row r="45" spans="1:71" x14ac:dyDescent="0.3">
      <c r="A45" t="s">
        <v>324</v>
      </c>
      <c r="B45" t="s">
        <v>76</v>
      </c>
      <c r="C45" t="s">
        <v>330</v>
      </c>
      <c r="D45" t="s">
        <v>121</v>
      </c>
      <c r="E45" s="2">
        <v>43259</v>
      </c>
      <c r="F45" s="2">
        <v>0.55555555555474712</v>
      </c>
      <c r="G45">
        <v>95</v>
      </c>
      <c r="H45" s="2">
        <v>43285</v>
      </c>
      <c r="I45" s="2">
        <v>0.60208333333503106</v>
      </c>
      <c r="J45" t="s">
        <v>130</v>
      </c>
      <c r="K45">
        <v>236</v>
      </c>
      <c r="L45" t="s">
        <v>157</v>
      </c>
      <c r="M45" t="s">
        <v>331</v>
      </c>
      <c r="N45" t="s">
        <v>332</v>
      </c>
      <c r="O45" t="s">
        <v>333</v>
      </c>
      <c r="P45" t="s">
        <v>334</v>
      </c>
      <c r="R45">
        <v>9.516441005802708</v>
      </c>
      <c r="S45">
        <v>0</v>
      </c>
      <c r="T45" s="6">
        <f t="shared" si="0"/>
        <v>9.516441005802708</v>
      </c>
      <c r="U45" s="6">
        <v>10.28265107212475</v>
      </c>
      <c r="V45" s="6">
        <v>0</v>
      </c>
      <c r="W45" s="6">
        <f t="shared" si="1"/>
        <v>10.28265107212475</v>
      </c>
      <c r="X45" s="6">
        <v>12.38843270260621</v>
      </c>
      <c r="Y45" s="6">
        <v>0</v>
      </c>
      <c r="Z45" s="6">
        <f t="shared" si="2"/>
        <v>12.38843270260621</v>
      </c>
      <c r="AA45" s="6">
        <v>14.54494382022472</v>
      </c>
      <c r="AB45" s="6">
        <v>0</v>
      </c>
      <c r="AC45" s="6">
        <f t="shared" si="3"/>
        <v>14.54494382022472</v>
      </c>
      <c r="AD45" s="6">
        <v>17.92810204870506</v>
      </c>
      <c r="AE45" s="6">
        <v>0</v>
      </c>
      <c r="AF45" s="6">
        <f t="shared" si="4"/>
        <v>17.92810204870506</v>
      </c>
      <c r="AG45" s="6">
        <v>17.657997802259729</v>
      </c>
      <c r="AH45" s="6">
        <v>0</v>
      </c>
      <c r="AI45" s="6">
        <f t="shared" si="5"/>
        <v>17.657997802259729</v>
      </c>
      <c r="AJ45">
        <v>2.8303148530142419</v>
      </c>
      <c r="AK45" s="3">
        <v>165.2006287393757</v>
      </c>
      <c r="AL45">
        <v>119.7288407095954</v>
      </c>
      <c r="AM45">
        <v>72.474809341362956</v>
      </c>
      <c r="AN45">
        <v>2.8322324105023049</v>
      </c>
      <c r="AO45">
        <v>131.51068099834129</v>
      </c>
      <c r="AP45">
        <v>103.11972960819379</v>
      </c>
      <c r="AQ45">
        <v>78.411676394173938</v>
      </c>
      <c r="AR45">
        <v>3.8519101356765759</v>
      </c>
      <c r="AS45">
        <v>129.31414770869469</v>
      </c>
      <c r="AT45">
        <v>97.554336932546462</v>
      </c>
      <c r="AU45">
        <v>75.439801956013824</v>
      </c>
      <c r="AV45">
        <v>4.6317961948693389</v>
      </c>
      <c r="AW45">
        <v>106.9858853158786</v>
      </c>
      <c r="AX45">
        <v>56.347157601652007</v>
      </c>
      <c r="AY45">
        <v>52.667842524540099</v>
      </c>
      <c r="AZ45">
        <v>6.4416045852201389</v>
      </c>
      <c r="BA45">
        <v>106.5971805987152</v>
      </c>
      <c r="BB45">
        <v>90.501665978832335</v>
      </c>
      <c r="BC45">
        <v>84.900618825488081</v>
      </c>
      <c r="BD45">
        <v>6.4677739042604019</v>
      </c>
      <c r="BE45">
        <v>110.486311994872</v>
      </c>
      <c r="BF45">
        <v>84.690064612321734</v>
      </c>
      <c r="BG45">
        <v>76.652087560178899</v>
      </c>
      <c r="BH45">
        <v>0.8149346726099721</v>
      </c>
      <c r="BI45">
        <v>8.7051887636219002E-2</v>
      </c>
      <c r="BJ45">
        <v>0.80566049241879534</v>
      </c>
      <c r="BK45">
        <v>8.8274932956208099E-2</v>
      </c>
      <c r="BL45">
        <v>0.81252914461226955</v>
      </c>
      <c r="BM45">
        <v>7.7390850092719399E-2</v>
      </c>
      <c r="BN45">
        <v>0.81314465008964076</v>
      </c>
      <c r="BO45">
        <v>7.6538088595395501E-2</v>
      </c>
      <c r="BP45">
        <v>0.81684863689910425</v>
      </c>
      <c r="BQ45">
        <v>7.3501178259101504E-2</v>
      </c>
      <c r="BR45">
        <v>0.81884802233118892</v>
      </c>
      <c r="BS45">
        <v>7.0936034040572707E-2</v>
      </c>
    </row>
    <row r="46" spans="1:71" x14ac:dyDescent="0.3">
      <c r="A46" t="s">
        <v>324</v>
      </c>
      <c r="B46" t="s">
        <v>83</v>
      </c>
      <c r="C46" t="s">
        <v>77</v>
      </c>
      <c r="D46" t="s">
        <v>335</v>
      </c>
      <c r="E46" s="2">
        <v>43259</v>
      </c>
      <c r="F46" s="2">
        <v>0.60763888889050577</v>
      </c>
      <c r="G46">
        <v>95</v>
      </c>
      <c r="H46" s="2">
        <v>43285</v>
      </c>
      <c r="I46" s="2">
        <v>0.57708333333357587</v>
      </c>
      <c r="J46" t="s">
        <v>86</v>
      </c>
      <c r="K46">
        <v>416</v>
      </c>
      <c r="L46" t="s">
        <v>157</v>
      </c>
      <c r="M46" t="s">
        <v>299</v>
      </c>
      <c r="N46" t="s">
        <v>336</v>
      </c>
      <c r="O46" t="s">
        <v>337</v>
      </c>
      <c r="P46" t="s">
        <v>338</v>
      </c>
      <c r="R46">
        <v>9.516441005802708</v>
      </c>
      <c r="S46">
        <v>0</v>
      </c>
      <c r="T46" s="6">
        <f t="shared" si="0"/>
        <v>9.516441005802708</v>
      </c>
      <c r="U46" s="6">
        <v>10.28265107212475</v>
      </c>
      <c r="V46" s="6">
        <v>0</v>
      </c>
      <c r="W46" s="6">
        <f t="shared" si="1"/>
        <v>10.28265107212475</v>
      </c>
      <c r="X46" s="6">
        <v>12.38843270260621</v>
      </c>
      <c r="Y46" s="6">
        <v>0</v>
      </c>
      <c r="Z46" s="6">
        <f t="shared" si="2"/>
        <v>12.38843270260621</v>
      </c>
      <c r="AA46" s="6">
        <v>14.54494382022472</v>
      </c>
      <c r="AB46" s="6">
        <v>0</v>
      </c>
      <c r="AC46" s="6">
        <f t="shared" si="3"/>
        <v>14.54494382022472</v>
      </c>
      <c r="AD46" s="6">
        <v>17.92810204870506</v>
      </c>
      <c r="AE46" s="6">
        <v>0</v>
      </c>
      <c r="AF46" s="6">
        <f t="shared" si="4"/>
        <v>17.92810204870506</v>
      </c>
      <c r="AG46" s="6">
        <v>17.657997802259729</v>
      </c>
      <c r="AH46" s="6">
        <v>0</v>
      </c>
      <c r="AI46" s="6">
        <f t="shared" si="5"/>
        <v>17.657997802259729</v>
      </c>
      <c r="AJ46">
        <v>2.8303148530142419</v>
      </c>
      <c r="AK46" s="3">
        <v>165.2006287393757</v>
      </c>
      <c r="AL46">
        <v>119.7288407095954</v>
      </c>
      <c r="AM46">
        <v>72.474809341362956</v>
      </c>
      <c r="AN46">
        <v>2.8322324105023049</v>
      </c>
      <c r="AO46">
        <v>131.51068099834129</v>
      </c>
      <c r="AP46">
        <v>103.11972960819379</v>
      </c>
      <c r="AQ46">
        <v>78.411676394173938</v>
      </c>
      <c r="AR46">
        <v>3.8519101356765759</v>
      </c>
      <c r="AS46">
        <v>129.31414770869469</v>
      </c>
      <c r="AT46">
        <v>97.554336932546462</v>
      </c>
      <c r="AU46">
        <v>75.439801956013824</v>
      </c>
      <c r="AV46">
        <v>4.6317961948693389</v>
      </c>
      <c r="AW46">
        <v>106.9858853158786</v>
      </c>
      <c r="AX46">
        <v>56.347157601652007</v>
      </c>
      <c r="AY46">
        <v>52.667842524540099</v>
      </c>
      <c r="AZ46">
        <v>6.4416045852201389</v>
      </c>
      <c r="BA46">
        <v>106.5971805987152</v>
      </c>
      <c r="BB46">
        <v>90.501665978832335</v>
      </c>
      <c r="BC46">
        <v>84.900618825488081</v>
      </c>
      <c r="BD46">
        <v>6.4677739042604019</v>
      </c>
      <c r="BE46">
        <v>110.486311994872</v>
      </c>
      <c r="BF46">
        <v>84.690064612321734</v>
      </c>
      <c r="BG46">
        <v>76.652087560178899</v>
      </c>
      <c r="BH46">
        <v>0.8149346726099721</v>
      </c>
      <c r="BI46">
        <v>8.7051887636219002E-2</v>
      </c>
      <c r="BJ46">
        <v>0.80566049241879534</v>
      </c>
      <c r="BK46">
        <v>8.8274932956208099E-2</v>
      </c>
      <c r="BL46">
        <v>0.81252914461226955</v>
      </c>
      <c r="BM46">
        <v>7.7390850092719399E-2</v>
      </c>
      <c r="BN46">
        <v>0.81314465008964076</v>
      </c>
      <c r="BO46">
        <v>7.6538088595395501E-2</v>
      </c>
      <c r="BP46">
        <v>0.81684863689910425</v>
      </c>
      <c r="BQ46">
        <v>7.3501178259101504E-2</v>
      </c>
      <c r="BR46">
        <v>0.81884802233118892</v>
      </c>
      <c r="BS46">
        <v>7.0936034040572707E-2</v>
      </c>
    </row>
    <row r="47" spans="1:71" x14ac:dyDescent="0.3">
      <c r="A47" t="s">
        <v>339</v>
      </c>
      <c r="B47" t="s">
        <v>66</v>
      </c>
      <c r="C47" t="s">
        <v>128</v>
      </c>
      <c r="D47" t="s">
        <v>164</v>
      </c>
      <c r="E47" s="2">
        <v>43356</v>
      </c>
      <c r="F47" s="2">
        <v>0.67013888889050577</v>
      </c>
      <c r="G47">
        <v>95</v>
      </c>
      <c r="H47" s="2">
        <v>43396</v>
      </c>
      <c r="I47" s="2">
        <v>0.48541666666642408</v>
      </c>
      <c r="J47" t="s">
        <v>86</v>
      </c>
      <c r="K47">
        <v>527</v>
      </c>
      <c r="L47" t="s">
        <v>157</v>
      </c>
      <c r="M47" t="s">
        <v>299</v>
      </c>
      <c r="N47" t="s">
        <v>340</v>
      </c>
      <c r="O47" t="s">
        <v>341</v>
      </c>
      <c r="P47" t="s">
        <v>342</v>
      </c>
      <c r="R47">
        <v>5.6560215467487494</v>
      </c>
      <c r="S47">
        <v>1.731435167372066</v>
      </c>
      <c r="T47" s="6">
        <f t="shared" si="0"/>
        <v>7.3874567141208152</v>
      </c>
      <c r="U47" s="6">
        <v>13.248904042864099</v>
      </c>
      <c r="V47" s="6">
        <v>2.1756778697840562</v>
      </c>
      <c r="W47" s="6">
        <f t="shared" si="1"/>
        <v>15.424581912648156</v>
      </c>
      <c r="X47" s="6">
        <v>12.92189865526761</v>
      </c>
      <c r="Y47" s="6">
        <v>1.594086739691869</v>
      </c>
      <c r="Z47" s="6">
        <f t="shared" si="2"/>
        <v>14.515985394959479</v>
      </c>
      <c r="AA47" s="6">
        <v>13.82040770483518</v>
      </c>
      <c r="AB47" s="6">
        <v>1.662267647554333</v>
      </c>
      <c r="AC47" s="6">
        <f t="shared" si="3"/>
        <v>15.482675352389514</v>
      </c>
      <c r="AD47" s="6">
        <v>11.31973419873281</v>
      </c>
      <c r="AE47" s="6">
        <v>1.638077576881471</v>
      </c>
      <c r="AF47" s="6">
        <f t="shared" si="4"/>
        <v>12.957811775614282</v>
      </c>
      <c r="AG47" s="6">
        <v>11.73585862856177</v>
      </c>
      <c r="AH47" s="6">
        <v>1.417660156139906</v>
      </c>
      <c r="AI47" s="6">
        <f t="shared" si="5"/>
        <v>13.153518784701676</v>
      </c>
      <c r="AJ47">
        <v>3.865795896798907</v>
      </c>
      <c r="AK47" s="3">
        <v>459.57661019838321</v>
      </c>
      <c r="AL47">
        <v>466.60235300478462</v>
      </c>
      <c r="AM47">
        <v>101.52874246654299</v>
      </c>
      <c r="AN47">
        <v>15.30210875816412</v>
      </c>
      <c r="AO47">
        <v>171.81354975543681</v>
      </c>
      <c r="AP47">
        <v>218.32181611740589</v>
      </c>
      <c r="AQ47">
        <v>127.0690329302724</v>
      </c>
      <c r="AR47">
        <v>16.409498207769321</v>
      </c>
      <c r="AS47">
        <v>162.67782516917501</v>
      </c>
      <c r="AT47">
        <v>96.611229400803552</v>
      </c>
      <c r="AU47">
        <v>59.388075357126127</v>
      </c>
      <c r="AV47">
        <v>17.08012706326431</v>
      </c>
      <c r="AW47">
        <v>213.2926152614256</v>
      </c>
      <c r="AX47">
        <v>263.51600936758439</v>
      </c>
      <c r="AY47">
        <v>123.5467102527678</v>
      </c>
      <c r="AZ47">
        <v>14.216973067833811</v>
      </c>
      <c r="BA47">
        <v>223.44051420355791</v>
      </c>
      <c r="BB47">
        <v>295.31690582045201</v>
      </c>
      <c r="BC47">
        <v>132.16802103821399</v>
      </c>
      <c r="BD47">
        <v>12.124777856426361</v>
      </c>
      <c r="BE47">
        <v>131.17080292054621</v>
      </c>
      <c r="BF47">
        <v>183.09294777397761</v>
      </c>
      <c r="BG47">
        <v>139.58361441523081</v>
      </c>
      <c r="BH47">
        <v>0.82484394735549549</v>
      </c>
      <c r="BI47">
        <v>7.6937053661010502E-2</v>
      </c>
      <c r="BJ47">
        <v>0.82277858481488686</v>
      </c>
      <c r="BK47">
        <v>8.4885113040964397E-2</v>
      </c>
      <c r="BL47">
        <v>0.81117915970749899</v>
      </c>
      <c r="BM47">
        <v>0.1026411060870078</v>
      </c>
      <c r="BN47">
        <v>0.81034317780505016</v>
      </c>
      <c r="BO47">
        <v>0.1034289344319901</v>
      </c>
      <c r="BP47">
        <v>0.80627822180875064</v>
      </c>
      <c r="BQ47">
        <v>0.10429631453550769</v>
      </c>
      <c r="BR47">
        <v>0.81116924705706495</v>
      </c>
      <c r="BS47">
        <v>0.10054681380671621</v>
      </c>
    </row>
    <row r="48" spans="1:71" s="3" customFormat="1" x14ac:dyDescent="0.3">
      <c r="A48" s="3" t="s">
        <v>339</v>
      </c>
      <c r="B48" s="3" t="s">
        <v>76</v>
      </c>
      <c r="C48" s="3" t="s">
        <v>343</v>
      </c>
      <c r="D48" s="3" t="s">
        <v>247</v>
      </c>
      <c r="E48" s="4">
        <v>43356</v>
      </c>
      <c r="F48" s="4">
        <v>0.69722222222117125</v>
      </c>
      <c r="G48" s="3">
        <v>95</v>
      </c>
      <c r="H48" s="4">
        <v>43396</v>
      </c>
      <c r="I48" s="4">
        <v>0.50347222222262644</v>
      </c>
      <c r="J48" s="3" t="s">
        <v>130</v>
      </c>
      <c r="K48" s="3">
        <v>219</v>
      </c>
      <c r="L48" s="3" t="s">
        <v>70</v>
      </c>
      <c r="M48" s="3" t="s">
        <v>166</v>
      </c>
      <c r="N48" s="3" t="s">
        <v>344</v>
      </c>
      <c r="O48" s="3" t="s">
        <v>345</v>
      </c>
      <c r="P48" s="3" t="s">
        <v>346</v>
      </c>
      <c r="Q48" s="3" t="s">
        <v>347</v>
      </c>
      <c r="R48" s="3">
        <v>5.6560215467487494</v>
      </c>
      <c r="S48" s="3">
        <v>1.731435167372066</v>
      </c>
      <c r="T48" s="3">
        <f t="shared" si="0"/>
        <v>7.3874567141208152</v>
      </c>
      <c r="U48" s="3">
        <v>13.248904042864099</v>
      </c>
      <c r="V48" s="3">
        <v>2.1756778697840562</v>
      </c>
      <c r="W48" s="3">
        <f t="shared" si="1"/>
        <v>15.424581912648156</v>
      </c>
      <c r="X48" s="3">
        <v>12.92189865526761</v>
      </c>
      <c r="Y48" s="3">
        <v>1.594086739691869</v>
      </c>
      <c r="Z48" s="3">
        <f t="shared" si="2"/>
        <v>14.515985394959479</v>
      </c>
      <c r="AA48" s="3">
        <v>13.82040770483518</v>
      </c>
      <c r="AB48" s="3">
        <v>1.662267647554333</v>
      </c>
      <c r="AC48" s="3">
        <f t="shared" si="3"/>
        <v>15.482675352389514</v>
      </c>
      <c r="AD48" s="3">
        <v>11.31973419873281</v>
      </c>
      <c r="AE48" s="3">
        <v>1.638077576881471</v>
      </c>
      <c r="AF48" s="3">
        <f t="shared" si="4"/>
        <v>12.957811775614282</v>
      </c>
      <c r="AG48" s="3">
        <v>11.73585862856177</v>
      </c>
      <c r="AH48" s="3">
        <v>1.417660156139906</v>
      </c>
      <c r="AI48" s="3">
        <f t="shared" si="5"/>
        <v>13.153518784701676</v>
      </c>
      <c r="AJ48" s="3">
        <v>3.865795896798907</v>
      </c>
      <c r="AK48" s="3">
        <v>459.57661019838321</v>
      </c>
      <c r="AL48" s="3">
        <v>466.60235300478462</v>
      </c>
      <c r="AM48" s="3">
        <v>101.52874246654299</v>
      </c>
      <c r="AN48" s="3">
        <v>15.30210875816412</v>
      </c>
      <c r="AO48" s="3">
        <v>171.81354975543681</v>
      </c>
      <c r="AP48" s="3">
        <v>218.32181611740589</v>
      </c>
      <c r="AQ48" s="3">
        <v>127.0690329302724</v>
      </c>
      <c r="AR48" s="3">
        <v>16.409498207769321</v>
      </c>
      <c r="AS48" s="3">
        <v>162.67782516917501</v>
      </c>
      <c r="AT48" s="3">
        <v>96.611229400803552</v>
      </c>
      <c r="AU48" s="3">
        <v>59.388075357126127</v>
      </c>
      <c r="AV48" s="3">
        <v>17.08012706326431</v>
      </c>
      <c r="AW48" s="3">
        <v>213.2926152614256</v>
      </c>
      <c r="AX48" s="3">
        <v>263.51600936758439</v>
      </c>
      <c r="AY48" s="3">
        <v>123.5467102527678</v>
      </c>
      <c r="AZ48" s="3">
        <v>14.216973067833811</v>
      </c>
      <c r="BA48" s="3">
        <v>223.44051420355791</v>
      </c>
      <c r="BB48" s="3">
        <v>295.31690582045201</v>
      </c>
      <c r="BC48" s="3">
        <v>132.16802103821399</v>
      </c>
      <c r="BD48" s="3">
        <v>12.124777856426361</v>
      </c>
      <c r="BE48" s="3">
        <v>131.17080292054621</v>
      </c>
      <c r="BF48" s="3">
        <v>183.09294777397761</v>
      </c>
      <c r="BG48" s="3">
        <v>139.58361441523081</v>
      </c>
      <c r="BH48" s="3">
        <v>0.82484394735549549</v>
      </c>
      <c r="BI48" s="3">
        <v>7.6937053661010502E-2</v>
      </c>
      <c r="BJ48" s="3">
        <v>0.82277858481488686</v>
      </c>
      <c r="BK48" s="3">
        <v>8.4885113040964397E-2</v>
      </c>
      <c r="BL48" s="3">
        <v>0.81117915970749899</v>
      </c>
      <c r="BM48" s="3">
        <v>0.1026411060870078</v>
      </c>
      <c r="BN48" s="3">
        <v>0.81034317780505016</v>
      </c>
      <c r="BO48" s="3">
        <v>0.1034289344319901</v>
      </c>
      <c r="BP48" s="3">
        <v>0.80627822180875064</v>
      </c>
      <c r="BQ48" s="3">
        <v>0.10429631453550769</v>
      </c>
      <c r="BR48" s="3">
        <v>0.81116924705706495</v>
      </c>
      <c r="BS48" s="3">
        <v>0.10054681380671621</v>
      </c>
    </row>
    <row r="49" spans="1:71" x14ac:dyDescent="0.3">
      <c r="A49" t="s">
        <v>339</v>
      </c>
      <c r="B49" t="s">
        <v>83</v>
      </c>
      <c r="C49" t="s">
        <v>348</v>
      </c>
      <c r="D49" t="s">
        <v>205</v>
      </c>
      <c r="E49" s="2">
        <v>43356</v>
      </c>
      <c r="F49" s="2">
        <v>0.71597222222044365</v>
      </c>
      <c r="G49">
        <v>93</v>
      </c>
      <c r="H49" s="2">
        <v>43396</v>
      </c>
      <c r="I49" s="2">
        <v>0.49375000000145519</v>
      </c>
      <c r="J49" t="s">
        <v>86</v>
      </c>
      <c r="K49">
        <v>236</v>
      </c>
      <c r="L49" t="s">
        <v>70</v>
      </c>
      <c r="M49" t="s">
        <v>178</v>
      </c>
      <c r="N49" t="s">
        <v>349</v>
      </c>
      <c r="O49" t="s">
        <v>350</v>
      </c>
      <c r="P49" t="s">
        <v>351</v>
      </c>
      <c r="R49">
        <v>5.6560215467487494</v>
      </c>
      <c r="S49">
        <v>1.731435167372066</v>
      </c>
      <c r="T49" s="6">
        <f t="shared" si="0"/>
        <v>7.3874567141208152</v>
      </c>
      <c r="U49" s="6">
        <v>13.248904042864099</v>
      </c>
      <c r="V49" s="6">
        <v>2.1756778697840562</v>
      </c>
      <c r="W49" s="6">
        <f t="shared" si="1"/>
        <v>15.424581912648156</v>
      </c>
      <c r="X49" s="6">
        <v>12.92189865526761</v>
      </c>
      <c r="Y49" s="6">
        <v>1.594086739691869</v>
      </c>
      <c r="Z49" s="6">
        <f t="shared" si="2"/>
        <v>14.515985394959479</v>
      </c>
      <c r="AA49" s="6">
        <v>13.82040770483518</v>
      </c>
      <c r="AB49" s="6">
        <v>1.662267647554333</v>
      </c>
      <c r="AC49" s="6">
        <f t="shared" si="3"/>
        <v>15.482675352389514</v>
      </c>
      <c r="AD49" s="6">
        <v>11.31973419873281</v>
      </c>
      <c r="AE49" s="6">
        <v>1.638077576881471</v>
      </c>
      <c r="AF49" s="6">
        <f t="shared" si="4"/>
        <v>12.957811775614282</v>
      </c>
      <c r="AG49" s="6">
        <v>11.73585862856177</v>
      </c>
      <c r="AH49" s="6">
        <v>1.417660156139906</v>
      </c>
      <c r="AI49" s="6">
        <f t="shared" si="5"/>
        <v>13.153518784701676</v>
      </c>
      <c r="AJ49">
        <v>3.865795896798907</v>
      </c>
      <c r="AK49" s="3">
        <v>459.57661019838321</v>
      </c>
      <c r="AL49">
        <v>466.60235300478462</v>
      </c>
      <c r="AM49">
        <v>101.52874246654299</v>
      </c>
      <c r="AN49">
        <v>15.30210875816412</v>
      </c>
      <c r="AO49">
        <v>171.81354975543681</v>
      </c>
      <c r="AP49">
        <v>218.32181611740589</v>
      </c>
      <c r="AQ49">
        <v>127.0690329302724</v>
      </c>
      <c r="AR49">
        <v>16.409498207769321</v>
      </c>
      <c r="AS49">
        <v>162.67782516917501</v>
      </c>
      <c r="AT49">
        <v>96.611229400803552</v>
      </c>
      <c r="AU49">
        <v>59.388075357126127</v>
      </c>
      <c r="AV49">
        <v>17.08012706326431</v>
      </c>
      <c r="AW49">
        <v>213.2926152614256</v>
      </c>
      <c r="AX49">
        <v>263.51600936758439</v>
      </c>
      <c r="AY49">
        <v>123.5467102527678</v>
      </c>
      <c r="AZ49">
        <v>14.216973067833811</v>
      </c>
      <c r="BA49">
        <v>223.44051420355791</v>
      </c>
      <c r="BB49">
        <v>295.31690582045201</v>
      </c>
      <c r="BC49">
        <v>132.16802103821399</v>
      </c>
      <c r="BD49">
        <v>12.124777856426361</v>
      </c>
      <c r="BE49">
        <v>131.17080292054621</v>
      </c>
      <c r="BF49">
        <v>183.09294777397761</v>
      </c>
      <c r="BG49">
        <v>139.58361441523081</v>
      </c>
      <c r="BH49">
        <v>0.82484394735549549</v>
      </c>
      <c r="BI49">
        <v>7.6937053661010502E-2</v>
      </c>
      <c r="BJ49">
        <v>0.82277858481488686</v>
      </c>
      <c r="BK49">
        <v>8.4885113040964397E-2</v>
      </c>
      <c r="BL49">
        <v>0.81117915970749899</v>
      </c>
      <c r="BM49">
        <v>0.1026411060870078</v>
      </c>
      <c r="BN49">
        <v>0.81034317780505016</v>
      </c>
      <c r="BO49">
        <v>0.1034289344319901</v>
      </c>
      <c r="BP49">
        <v>0.80627822180875064</v>
      </c>
      <c r="BQ49">
        <v>0.10429631453550769</v>
      </c>
      <c r="BR49">
        <v>0.81116924705706495</v>
      </c>
      <c r="BS49">
        <v>0.10054681380671621</v>
      </c>
    </row>
    <row r="50" spans="1:71" x14ac:dyDescent="0.3">
      <c r="A50" t="s">
        <v>352</v>
      </c>
      <c r="B50" t="s">
        <v>66</v>
      </c>
      <c r="C50" t="s">
        <v>330</v>
      </c>
      <c r="D50" t="s">
        <v>183</v>
      </c>
      <c r="E50" s="2">
        <v>42893</v>
      </c>
      <c r="F50" s="2">
        <v>0.39722222222189879</v>
      </c>
      <c r="G50">
        <v>99</v>
      </c>
      <c r="H50" s="2">
        <v>42920</v>
      </c>
      <c r="I50" s="2">
        <v>0.30486111111167702</v>
      </c>
      <c r="J50" t="s">
        <v>353</v>
      </c>
      <c r="K50">
        <v>234</v>
      </c>
      <c r="L50" t="s">
        <v>70</v>
      </c>
      <c r="M50" t="s">
        <v>262</v>
      </c>
      <c r="N50" t="s">
        <v>354</v>
      </c>
      <c r="O50" t="s">
        <v>355</v>
      </c>
      <c r="P50" t="s">
        <v>356</v>
      </c>
      <c r="Q50" t="s">
        <v>357</v>
      </c>
      <c r="R50">
        <v>5.129193983802546</v>
      </c>
      <c r="S50">
        <v>0</v>
      </c>
      <c r="T50" s="6">
        <f t="shared" si="0"/>
        <v>5.129193983802546</v>
      </c>
      <c r="U50" s="6">
        <v>7.1009771986970689</v>
      </c>
      <c r="V50" s="6">
        <v>0</v>
      </c>
      <c r="W50" s="6">
        <f t="shared" si="1"/>
        <v>7.1009771986970689</v>
      </c>
      <c r="X50" s="6">
        <v>6.297318963213681</v>
      </c>
      <c r="Y50" s="6">
        <v>0</v>
      </c>
      <c r="Z50" s="6">
        <f t="shared" si="2"/>
        <v>6.297318963213681</v>
      </c>
      <c r="AA50" s="6">
        <v>6.0791811944663143</v>
      </c>
      <c r="AB50" s="6">
        <v>0</v>
      </c>
      <c r="AC50" s="6">
        <f t="shared" si="3"/>
        <v>6.0791811944663143</v>
      </c>
      <c r="AD50" s="6">
        <v>6.3211955052708806</v>
      </c>
      <c r="AE50" s="6">
        <v>0</v>
      </c>
      <c r="AF50" s="6">
        <f t="shared" si="4"/>
        <v>6.3211955052708806</v>
      </c>
      <c r="AG50" s="6">
        <v>5.9956026609538844</v>
      </c>
      <c r="AH50" s="6">
        <v>3.9463299131807419E-2</v>
      </c>
      <c r="AI50" s="6">
        <f t="shared" si="5"/>
        <v>6.0350659600856922</v>
      </c>
      <c r="AJ50">
        <v>2.698003386307521</v>
      </c>
      <c r="AK50" s="3">
        <v>341.83328908355742</v>
      </c>
      <c r="AL50">
        <v>60.531678004718202</v>
      </c>
      <c r="AM50">
        <v>17.707952951861831</v>
      </c>
      <c r="AN50">
        <v>4.3892890911575906</v>
      </c>
      <c r="AO50">
        <v>257.55479532705948</v>
      </c>
      <c r="AP50">
        <v>199.54420745448689</v>
      </c>
      <c r="AQ50">
        <v>77.476409321400126</v>
      </c>
      <c r="AR50">
        <v>3.5587470039548799</v>
      </c>
      <c r="AS50">
        <v>175.60768800831809</v>
      </c>
      <c r="AT50">
        <v>97.857715558802454</v>
      </c>
      <c r="AU50">
        <v>55.725188725317743</v>
      </c>
      <c r="AV50">
        <v>3.4856593002811089</v>
      </c>
      <c r="AW50">
        <v>188.3826631578288</v>
      </c>
      <c r="AX50">
        <v>177.0759094645106</v>
      </c>
      <c r="AY50">
        <v>93.997986065286014</v>
      </c>
      <c r="AZ50">
        <v>4.119992111367349</v>
      </c>
      <c r="BA50">
        <v>168.78314081424821</v>
      </c>
      <c r="BB50">
        <v>178.98476213626171</v>
      </c>
      <c r="BC50">
        <v>106.0442182037842</v>
      </c>
      <c r="BD50">
        <v>4.653756546935214</v>
      </c>
      <c r="BE50">
        <v>248.65921143796169</v>
      </c>
      <c r="BF50">
        <v>330.493847488168</v>
      </c>
      <c r="BG50">
        <v>132.91035774503101</v>
      </c>
      <c r="BH50">
        <v>0.79872742786781104</v>
      </c>
      <c r="BI50">
        <v>8.7644089661901195E-2</v>
      </c>
      <c r="BJ50">
        <v>0.77573552982574612</v>
      </c>
      <c r="BK50">
        <v>0.10780350078902649</v>
      </c>
      <c r="BL50">
        <v>0.77152360637432704</v>
      </c>
      <c r="BM50">
        <v>0.1119735167882113</v>
      </c>
      <c r="BN50">
        <v>0.77649020133873592</v>
      </c>
      <c r="BO50">
        <v>0.1067383336005658</v>
      </c>
      <c r="BP50">
        <v>0.78327091399989623</v>
      </c>
      <c r="BQ50">
        <v>0.10203475569832671</v>
      </c>
      <c r="BR50">
        <v>0.77278703436455221</v>
      </c>
      <c r="BS50">
        <v>0.10177436279905509</v>
      </c>
    </row>
    <row r="51" spans="1:71" x14ac:dyDescent="0.3">
      <c r="A51" t="s">
        <v>352</v>
      </c>
      <c r="B51" t="s">
        <v>76</v>
      </c>
      <c r="C51" t="s">
        <v>182</v>
      </c>
      <c r="D51" t="s">
        <v>310</v>
      </c>
      <c r="E51" s="2">
        <v>42893</v>
      </c>
      <c r="F51" s="2">
        <v>0.33680555555474712</v>
      </c>
      <c r="G51">
        <v>99</v>
      </c>
      <c r="H51" s="2">
        <v>42920</v>
      </c>
      <c r="I51" s="2">
        <v>0.33750000000145519</v>
      </c>
      <c r="J51" t="s">
        <v>358</v>
      </c>
      <c r="K51">
        <v>79</v>
      </c>
      <c r="L51" t="s">
        <v>70</v>
      </c>
      <c r="M51" t="s">
        <v>359</v>
      </c>
      <c r="N51" t="s">
        <v>360</v>
      </c>
      <c r="O51" t="s">
        <v>361</v>
      </c>
      <c r="P51" t="s">
        <v>362</v>
      </c>
      <c r="R51">
        <v>5.129193983802546</v>
      </c>
      <c r="S51">
        <v>0</v>
      </c>
      <c r="T51" s="6">
        <f t="shared" si="0"/>
        <v>5.129193983802546</v>
      </c>
      <c r="U51" s="6">
        <v>7.1009771986970689</v>
      </c>
      <c r="V51" s="6">
        <v>0</v>
      </c>
      <c r="W51" s="6">
        <f t="shared" si="1"/>
        <v>7.1009771986970689</v>
      </c>
      <c r="X51" s="6">
        <v>6.297318963213681</v>
      </c>
      <c r="Y51" s="6">
        <v>0</v>
      </c>
      <c r="Z51" s="6">
        <f t="shared" si="2"/>
        <v>6.297318963213681</v>
      </c>
      <c r="AA51" s="6">
        <v>6.0791811944663143</v>
      </c>
      <c r="AB51" s="6">
        <v>0</v>
      </c>
      <c r="AC51" s="6">
        <f t="shared" si="3"/>
        <v>6.0791811944663143</v>
      </c>
      <c r="AD51" s="6">
        <v>6.3211955052708806</v>
      </c>
      <c r="AE51" s="6">
        <v>0</v>
      </c>
      <c r="AF51" s="6">
        <f t="shared" si="4"/>
        <v>6.3211955052708806</v>
      </c>
      <c r="AG51" s="6">
        <v>5.9956026609538844</v>
      </c>
      <c r="AH51" s="6">
        <v>3.9463299131807419E-2</v>
      </c>
      <c r="AI51" s="6">
        <f t="shared" si="5"/>
        <v>6.0350659600856922</v>
      </c>
      <c r="AJ51">
        <v>2.698003386307521</v>
      </c>
      <c r="AK51" s="3">
        <v>341.83328908355742</v>
      </c>
      <c r="AL51">
        <v>60.531678004718202</v>
      </c>
      <c r="AM51">
        <v>17.707952951861831</v>
      </c>
      <c r="AN51">
        <v>4.3892890911575906</v>
      </c>
      <c r="AO51">
        <v>257.55479532705948</v>
      </c>
      <c r="AP51">
        <v>199.54420745448689</v>
      </c>
      <c r="AQ51">
        <v>77.476409321400126</v>
      </c>
      <c r="AR51">
        <v>3.5587470039548799</v>
      </c>
      <c r="AS51">
        <v>175.60768800831809</v>
      </c>
      <c r="AT51">
        <v>97.857715558802454</v>
      </c>
      <c r="AU51">
        <v>55.725188725317743</v>
      </c>
      <c r="AV51">
        <v>3.4856593002811089</v>
      </c>
      <c r="AW51">
        <v>188.3826631578288</v>
      </c>
      <c r="AX51">
        <v>177.0759094645106</v>
      </c>
      <c r="AY51">
        <v>93.997986065286014</v>
      </c>
      <c r="AZ51">
        <v>4.119992111367349</v>
      </c>
      <c r="BA51">
        <v>168.78314081424821</v>
      </c>
      <c r="BB51">
        <v>178.98476213626171</v>
      </c>
      <c r="BC51">
        <v>106.0442182037842</v>
      </c>
      <c r="BD51">
        <v>4.653756546935214</v>
      </c>
      <c r="BE51">
        <v>248.65921143796169</v>
      </c>
      <c r="BF51">
        <v>330.493847488168</v>
      </c>
      <c r="BG51">
        <v>132.91035774503101</v>
      </c>
      <c r="BH51">
        <v>0.79872742786781104</v>
      </c>
      <c r="BI51">
        <v>8.7644089661901195E-2</v>
      </c>
      <c r="BJ51">
        <v>0.77573552982574612</v>
      </c>
      <c r="BK51">
        <v>0.10780350078902649</v>
      </c>
      <c r="BL51">
        <v>0.77152360637432704</v>
      </c>
      <c r="BM51">
        <v>0.1119735167882113</v>
      </c>
      <c r="BN51">
        <v>0.77649020133873592</v>
      </c>
      <c r="BO51">
        <v>0.1067383336005658</v>
      </c>
      <c r="BP51">
        <v>0.78327091399989623</v>
      </c>
      <c r="BQ51">
        <v>0.10203475569832671</v>
      </c>
      <c r="BR51">
        <v>0.77278703436455221</v>
      </c>
      <c r="BS51">
        <v>0.10177436279905509</v>
      </c>
    </row>
    <row r="52" spans="1:71" x14ac:dyDescent="0.3">
      <c r="A52" t="s">
        <v>352</v>
      </c>
      <c r="B52" t="s">
        <v>83</v>
      </c>
      <c r="C52" t="s">
        <v>363</v>
      </c>
      <c r="D52" t="s">
        <v>315</v>
      </c>
      <c r="E52" s="2">
        <v>42893</v>
      </c>
      <c r="F52" s="2">
        <v>0.48263888889050582</v>
      </c>
      <c r="G52">
        <v>99</v>
      </c>
      <c r="H52" s="2">
        <v>42920</v>
      </c>
      <c r="I52" s="2">
        <v>0.48263888889050582</v>
      </c>
      <c r="J52" t="s">
        <v>364</v>
      </c>
      <c r="K52">
        <v>131</v>
      </c>
      <c r="L52" t="s">
        <v>70</v>
      </c>
      <c r="M52" t="s">
        <v>226</v>
      </c>
      <c r="N52" t="s">
        <v>365</v>
      </c>
      <c r="O52" t="s">
        <v>366</v>
      </c>
      <c r="P52" t="s">
        <v>367</v>
      </c>
      <c r="Q52" t="s">
        <v>199</v>
      </c>
      <c r="R52">
        <v>5.129193983802546</v>
      </c>
      <c r="S52">
        <v>0</v>
      </c>
      <c r="T52" s="6">
        <f t="shared" si="0"/>
        <v>5.129193983802546</v>
      </c>
      <c r="U52" s="6">
        <v>7.1009771986970689</v>
      </c>
      <c r="V52" s="6">
        <v>0</v>
      </c>
      <c r="W52" s="6">
        <f t="shared" si="1"/>
        <v>7.1009771986970689</v>
      </c>
      <c r="X52" s="6">
        <v>6.297318963213681</v>
      </c>
      <c r="Y52" s="6">
        <v>0</v>
      </c>
      <c r="Z52" s="6">
        <f t="shared" si="2"/>
        <v>6.297318963213681</v>
      </c>
      <c r="AA52" s="6">
        <v>6.0791811944663143</v>
      </c>
      <c r="AB52" s="6">
        <v>0</v>
      </c>
      <c r="AC52" s="6">
        <f t="shared" si="3"/>
        <v>6.0791811944663143</v>
      </c>
      <c r="AD52" s="6">
        <v>6.3211955052708806</v>
      </c>
      <c r="AE52" s="6">
        <v>0</v>
      </c>
      <c r="AF52" s="6">
        <f t="shared" si="4"/>
        <v>6.3211955052708806</v>
      </c>
      <c r="AG52" s="6">
        <v>5.9956026609538844</v>
      </c>
      <c r="AH52" s="6">
        <v>3.9463299131807419E-2</v>
      </c>
      <c r="AI52" s="6">
        <f t="shared" si="5"/>
        <v>6.0350659600856922</v>
      </c>
      <c r="AJ52">
        <v>2.698003386307521</v>
      </c>
      <c r="AK52" s="3">
        <v>341.83328908355742</v>
      </c>
      <c r="AL52">
        <v>60.531678004718202</v>
      </c>
      <c r="AM52">
        <v>17.707952951861831</v>
      </c>
      <c r="AN52">
        <v>4.3892890911575906</v>
      </c>
      <c r="AO52">
        <v>257.55479532705948</v>
      </c>
      <c r="AP52">
        <v>199.54420745448689</v>
      </c>
      <c r="AQ52">
        <v>77.476409321400126</v>
      </c>
      <c r="AR52">
        <v>3.5587470039548799</v>
      </c>
      <c r="AS52">
        <v>175.60768800831809</v>
      </c>
      <c r="AT52">
        <v>97.857715558802454</v>
      </c>
      <c r="AU52">
        <v>55.725188725317743</v>
      </c>
      <c r="AV52">
        <v>3.4856593002811089</v>
      </c>
      <c r="AW52">
        <v>188.3826631578288</v>
      </c>
      <c r="AX52">
        <v>177.0759094645106</v>
      </c>
      <c r="AY52">
        <v>93.997986065286014</v>
      </c>
      <c r="AZ52">
        <v>4.119992111367349</v>
      </c>
      <c r="BA52">
        <v>168.78314081424821</v>
      </c>
      <c r="BB52">
        <v>178.98476213626171</v>
      </c>
      <c r="BC52">
        <v>106.0442182037842</v>
      </c>
      <c r="BD52">
        <v>4.653756546935214</v>
      </c>
      <c r="BE52">
        <v>248.65921143796169</v>
      </c>
      <c r="BF52">
        <v>330.493847488168</v>
      </c>
      <c r="BG52">
        <v>132.91035774503101</v>
      </c>
      <c r="BH52">
        <v>0.79872742786781104</v>
      </c>
      <c r="BI52">
        <v>8.7644089661901195E-2</v>
      </c>
      <c r="BJ52">
        <v>0.77573552982574612</v>
      </c>
      <c r="BK52">
        <v>0.10780350078902649</v>
      </c>
      <c r="BL52">
        <v>0.77152360637432704</v>
      </c>
      <c r="BM52">
        <v>0.1119735167882113</v>
      </c>
      <c r="BN52">
        <v>0.77649020133873592</v>
      </c>
      <c r="BO52">
        <v>0.1067383336005658</v>
      </c>
      <c r="BP52">
        <v>0.78327091399989623</v>
      </c>
      <c r="BQ52">
        <v>0.10203475569832671</v>
      </c>
      <c r="BR52">
        <v>0.77278703436455221</v>
      </c>
      <c r="BS52">
        <v>0.10177436279905509</v>
      </c>
    </row>
    <row r="53" spans="1:71" x14ac:dyDescent="0.3">
      <c r="A53" t="s">
        <v>368</v>
      </c>
      <c r="B53" t="s">
        <v>66</v>
      </c>
      <c r="C53" t="s">
        <v>309</v>
      </c>
      <c r="D53" t="s">
        <v>321</v>
      </c>
      <c r="E53" s="2">
        <v>42894</v>
      </c>
      <c r="F53" s="2">
        <v>0.51736111110949423</v>
      </c>
      <c r="G53">
        <v>99</v>
      </c>
      <c r="H53" s="2">
        <v>42921</v>
      </c>
      <c r="I53" s="2">
        <v>0.3131944444430701</v>
      </c>
      <c r="J53" t="s">
        <v>69</v>
      </c>
      <c r="K53">
        <v>288</v>
      </c>
      <c r="L53" t="s">
        <v>177</v>
      </c>
      <c r="M53" t="s">
        <v>188</v>
      </c>
      <c r="N53" t="s">
        <v>369</v>
      </c>
      <c r="O53" t="s">
        <v>370</v>
      </c>
      <c r="P53" t="s">
        <v>371</v>
      </c>
      <c r="R53">
        <v>2.2718521370812468</v>
      </c>
      <c r="S53">
        <v>2.0408163265306118</v>
      </c>
      <c r="T53" s="6">
        <f t="shared" si="0"/>
        <v>4.3126684636118586</v>
      </c>
      <c r="U53" s="6">
        <v>3.3625730994152052</v>
      </c>
      <c r="V53" s="6">
        <v>4.8570500324886288</v>
      </c>
      <c r="W53" s="6">
        <f t="shared" si="1"/>
        <v>8.219623131903834</v>
      </c>
      <c r="X53" s="6">
        <v>9.7923906263922298</v>
      </c>
      <c r="Y53" s="6">
        <v>2.9314799964358911</v>
      </c>
      <c r="Z53" s="6">
        <f t="shared" si="2"/>
        <v>12.723870622828121</v>
      </c>
      <c r="AA53" s="6">
        <v>13.37264813254704</v>
      </c>
      <c r="AB53" s="6">
        <v>2.021903959561921</v>
      </c>
      <c r="AC53" s="6">
        <f t="shared" si="3"/>
        <v>15.394552092108961</v>
      </c>
      <c r="AD53" s="6">
        <v>14.99691024254596</v>
      </c>
      <c r="AE53" s="6">
        <v>1.853854472423915</v>
      </c>
      <c r="AF53" s="6">
        <f t="shared" si="4"/>
        <v>16.850764714969873</v>
      </c>
      <c r="AG53" s="6">
        <v>15.963473408303029</v>
      </c>
      <c r="AH53" s="6">
        <v>2.46610862151574</v>
      </c>
      <c r="AI53" s="6">
        <f t="shared" si="5"/>
        <v>18.429582029818768</v>
      </c>
      <c r="AJ53">
        <v>2.2550476064659879</v>
      </c>
      <c r="AK53" s="3">
        <v>122.1089628975221</v>
      </c>
      <c r="AL53">
        <v>22.847609307228161</v>
      </c>
      <c r="AM53">
        <v>18.710837243292801</v>
      </c>
      <c r="AN53">
        <v>10.187982936356629</v>
      </c>
      <c r="AO53">
        <v>419.43380595605998</v>
      </c>
      <c r="AP53">
        <v>516.63656884882175</v>
      </c>
      <c r="AQ53">
        <v>123.1747564246037</v>
      </c>
      <c r="AR53">
        <v>8.2148162806992424</v>
      </c>
      <c r="AS53">
        <v>163.96149442364239</v>
      </c>
      <c r="AT53">
        <v>261.24919295683571</v>
      </c>
      <c r="AU53">
        <v>159.33569883293569</v>
      </c>
      <c r="AV53">
        <v>9.1980438829237272</v>
      </c>
      <c r="AW53">
        <v>94.140128148869664</v>
      </c>
      <c r="AX53">
        <v>53.2252598620058</v>
      </c>
      <c r="AY53">
        <v>56.538333767548487</v>
      </c>
      <c r="AZ53">
        <v>11.70477090975306</v>
      </c>
      <c r="BA53">
        <v>149.6960207483009</v>
      </c>
      <c r="BB53">
        <v>356.53591562567289</v>
      </c>
      <c r="BC53">
        <v>238.17327531047269</v>
      </c>
      <c r="BD53">
        <v>15.958610712860329</v>
      </c>
      <c r="BE53">
        <v>148.4318005215309</v>
      </c>
      <c r="BF53">
        <v>291.41514836710371</v>
      </c>
      <c r="BG53">
        <v>196.3293225192887</v>
      </c>
      <c r="BH53">
        <v>0.69301290057997089</v>
      </c>
      <c r="BI53">
        <v>0.1191012882822033</v>
      </c>
      <c r="BJ53">
        <v>0.72051221220031769</v>
      </c>
      <c r="BK53">
        <v>9.1268339974925797E-2</v>
      </c>
      <c r="BL53">
        <v>0.63594975009555643</v>
      </c>
      <c r="BM53">
        <v>0.15786351658887901</v>
      </c>
      <c r="BN53">
        <v>0.60900125739342514</v>
      </c>
      <c r="BO53">
        <v>0.1578993107914865</v>
      </c>
      <c r="BP53">
        <v>0.59633481720065407</v>
      </c>
      <c r="BQ53">
        <v>0.16074246448901169</v>
      </c>
      <c r="BR53">
        <v>0.61097058266156512</v>
      </c>
      <c r="BS53">
        <v>0.15953607667653419</v>
      </c>
    </row>
    <row r="54" spans="1:71" x14ac:dyDescent="0.3">
      <c r="A54" t="s">
        <v>368</v>
      </c>
      <c r="B54" t="s">
        <v>76</v>
      </c>
      <c r="C54" t="s">
        <v>175</v>
      </c>
      <c r="D54" t="s">
        <v>129</v>
      </c>
      <c r="E54" s="2">
        <v>42894</v>
      </c>
      <c r="F54" s="2">
        <v>0.34861111111240461</v>
      </c>
      <c r="G54">
        <v>99</v>
      </c>
      <c r="H54" s="2">
        <v>42921</v>
      </c>
      <c r="I54" s="2">
        <v>0.30208333333212067</v>
      </c>
      <c r="J54" t="s">
        <v>272</v>
      </c>
      <c r="K54">
        <v>318</v>
      </c>
      <c r="L54" t="s">
        <v>177</v>
      </c>
      <c r="M54" t="s">
        <v>299</v>
      </c>
      <c r="N54" t="s">
        <v>372</v>
      </c>
      <c r="O54" t="s">
        <v>373</v>
      </c>
      <c r="P54" t="s">
        <v>374</v>
      </c>
      <c r="Q54" t="s">
        <v>375</v>
      </c>
      <c r="R54">
        <v>2.2718521370812468</v>
      </c>
      <c r="S54">
        <v>2.0408163265306118</v>
      </c>
      <c r="T54" s="6">
        <f t="shared" si="0"/>
        <v>4.3126684636118586</v>
      </c>
      <c r="U54" s="6">
        <v>3.3625730994152052</v>
      </c>
      <c r="V54" s="6">
        <v>4.8570500324886288</v>
      </c>
      <c r="W54" s="6">
        <f t="shared" si="1"/>
        <v>8.219623131903834</v>
      </c>
      <c r="X54" s="6">
        <v>9.7923906263922298</v>
      </c>
      <c r="Y54" s="6">
        <v>2.9314799964358911</v>
      </c>
      <c r="Z54" s="6">
        <f t="shared" si="2"/>
        <v>12.723870622828121</v>
      </c>
      <c r="AA54" s="6">
        <v>13.37264813254704</v>
      </c>
      <c r="AB54" s="6">
        <v>2.021903959561921</v>
      </c>
      <c r="AC54" s="6">
        <f t="shared" si="3"/>
        <v>15.394552092108961</v>
      </c>
      <c r="AD54" s="6">
        <v>14.99691024254596</v>
      </c>
      <c r="AE54" s="6">
        <v>1.853854472423915</v>
      </c>
      <c r="AF54" s="6">
        <f t="shared" si="4"/>
        <v>16.850764714969873</v>
      </c>
      <c r="AG54" s="6">
        <v>15.963473408303029</v>
      </c>
      <c r="AH54" s="6">
        <v>2.46610862151574</v>
      </c>
      <c r="AI54" s="6">
        <f t="shared" si="5"/>
        <v>18.429582029818768</v>
      </c>
      <c r="AJ54">
        <v>2.2550476064659879</v>
      </c>
      <c r="AK54" s="3">
        <v>122.1089628975221</v>
      </c>
      <c r="AL54">
        <v>22.847609307228161</v>
      </c>
      <c r="AM54">
        <v>18.710837243292801</v>
      </c>
      <c r="AN54">
        <v>10.187982936356629</v>
      </c>
      <c r="AO54">
        <v>419.43380595605998</v>
      </c>
      <c r="AP54">
        <v>516.63656884882175</v>
      </c>
      <c r="AQ54">
        <v>123.1747564246037</v>
      </c>
      <c r="AR54">
        <v>8.2148162806992424</v>
      </c>
      <c r="AS54">
        <v>163.96149442364239</v>
      </c>
      <c r="AT54">
        <v>261.24919295683571</v>
      </c>
      <c r="AU54">
        <v>159.33569883293569</v>
      </c>
      <c r="AV54">
        <v>9.1980438829237272</v>
      </c>
      <c r="AW54">
        <v>94.140128148869664</v>
      </c>
      <c r="AX54">
        <v>53.2252598620058</v>
      </c>
      <c r="AY54">
        <v>56.538333767548487</v>
      </c>
      <c r="AZ54">
        <v>11.70477090975306</v>
      </c>
      <c r="BA54">
        <v>149.6960207483009</v>
      </c>
      <c r="BB54">
        <v>356.53591562567289</v>
      </c>
      <c r="BC54">
        <v>238.17327531047269</v>
      </c>
      <c r="BD54">
        <v>15.958610712860329</v>
      </c>
      <c r="BE54">
        <v>148.4318005215309</v>
      </c>
      <c r="BF54">
        <v>291.41514836710371</v>
      </c>
      <c r="BG54">
        <v>196.3293225192887</v>
      </c>
      <c r="BH54">
        <v>0.69301290057997089</v>
      </c>
      <c r="BI54">
        <v>0.1191012882822033</v>
      </c>
      <c r="BJ54">
        <v>0.72051221220031769</v>
      </c>
      <c r="BK54">
        <v>9.1268339974925797E-2</v>
      </c>
      <c r="BL54">
        <v>0.63594975009555643</v>
      </c>
      <c r="BM54">
        <v>0.15786351658887901</v>
      </c>
      <c r="BN54">
        <v>0.60900125739342514</v>
      </c>
      <c r="BO54">
        <v>0.1578993107914865</v>
      </c>
      <c r="BP54">
        <v>0.59633481720065407</v>
      </c>
      <c r="BQ54">
        <v>0.16074246448901169</v>
      </c>
      <c r="BR54">
        <v>0.61097058266156512</v>
      </c>
      <c r="BS54">
        <v>0.15953607667653419</v>
      </c>
    </row>
    <row r="55" spans="1:71" x14ac:dyDescent="0.3">
      <c r="A55" t="s">
        <v>368</v>
      </c>
      <c r="B55" t="s">
        <v>83</v>
      </c>
      <c r="C55" t="s">
        <v>376</v>
      </c>
      <c r="D55" t="s">
        <v>377</v>
      </c>
      <c r="E55" s="2">
        <v>42894</v>
      </c>
      <c r="F55" s="2">
        <v>0.41319444444525288</v>
      </c>
      <c r="G55">
        <v>99</v>
      </c>
      <c r="H55" s="2">
        <v>42921</v>
      </c>
      <c r="I55" s="2">
        <v>0.2937500000007276</v>
      </c>
      <c r="J55" t="s">
        <v>353</v>
      </c>
      <c r="K55">
        <v>196</v>
      </c>
      <c r="L55" t="s">
        <v>177</v>
      </c>
      <c r="M55" t="s">
        <v>188</v>
      </c>
      <c r="N55" t="s">
        <v>378</v>
      </c>
      <c r="O55" t="s">
        <v>379</v>
      </c>
      <c r="P55" t="s">
        <v>380</v>
      </c>
      <c r="Q55" t="s">
        <v>381</v>
      </c>
      <c r="R55">
        <v>2.2718521370812468</v>
      </c>
      <c r="S55">
        <v>2.0408163265306118</v>
      </c>
      <c r="T55" s="6">
        <f t="shared" si="0"/>
        <v>4.3126684636118586</v>
      </c>
      <c r="U55" s="6">
        <v>3.3625730994152052</v>
      </c>
      <c r="V55" s="6">
        <v>4.8570500324886288</v>
      </c>
      <c r="W55" s="6">
        <f t="shared" si="1"/>
        <v>8.219623131903834</v>
      </c>
      <c r="X55" s="6">
        <v>9.7923906263922298</v>
      </c>
      <c r="Y55" s="6">
        <v>2.9314799964358911</v>
      </c>
      <c r="Z55" s="6">
        <f t="shared" si="2"/>
        <v>12.723870622828121</v>
      </c>
      <c r="AA55" s="6">
        <v>13.37264813254704</v>
      </c>
      <c r="AB55" s="6">
        <v>2.021903959561921</v>
      </c>
      <c r="AC55" s="6">
        <f t="shared" si="3"/>
        <v>15.394552092108961</v>
      </c>
      <c r="AD55" s="6">
        <v>14.99691024254596</v>
      </c>
      <c r="AE55" s="6">
        <v>1.853854472423915</v>
      </c>
      <c r="AF55" s="6">
        <f t="shared" si="4"/>
        <v>16.850764714969873</v>
      </c>
      <c r="AG55" s="6">
        <v>15.963473408303029</v>
      </c>
      <c r="AH55" s="6">
        <v>2.46610862151574</v>
      </c>
      <c r="AI55" s="6">
        <f t="shared" si="5"/>
        <v>18.429582029818768</v>
      </c>
      <c r="AJ55">
        <v>2.2550476064659879</v>
      </c>
      <c r="AK55" s="3">
        <v>122.1089628975221</v>
      </c>
      <c r="AL55">
        <v>22.847609307228161</v>
      </c>
      <c r="AM55">
        <v>18.710837243292801</v>
      </c>
      <c r="AN55">
        <v>10.187982936356629</v>
      </c>
      <c r="AO55">
        <v>419.43380595605998</v>
      </c>
      <c r="AP55">
        <v>516.63656884882175</v>
      </c>
      <c r="AQ55">
        <v>123.1747564246037</v>
      </c>
      <c r="AR55">
        <v>8.2148162806992424</v>
      </c>
      <c r="AS55">
        <v>163.96149442364239</v>
      </c>
      <c r="AT55">
        <v>261.24919295683571</v>
      </c>
      <c r="AU55">
        <v>159.33569883293569</v>
      </c>
      <c r="AV55">
        <v>9.1980438829237272</v>
      </c>
      <c r="AW55">
        <v>94.140128148869664</v>
      </c>
      <c r="AX55">
        <v>53.2252598620058</v>
      </c>
      <c r="AY55">
        <v>56.538333767548487</v>
      </c>
      <c r="AZ55">
        <v>11.70477090975306</v>
      </c>
      <c r="BA55">
        <v>149.6960207483009</v>
      </c>
      <c r="BB55">
        <v>356.53591562567289</v>
      </c>
      <c r="BC55">
        <v>238.17327531047269</v>
      </c>
      <c r="BD55">
        <v>15.958610712860329</v>
      </c>
      <c r="BE55">
        <v>148.4318005215309</v>
      </c>
      <c r="BF55">
        <v>291.41514836710371</v>
      </c>
      <c r="BG55">
        <v>196.3293225192887</v>
      </c>
      <c r="BH55">
        <v>0.69301290057997089</v>
      </c>
      <c r="BI55">
        <v>0.1191012882822033</v>
      </c>
      <c r="BJ55">
        <v>0.72051221220031769</v>
      </c>
      <c r="BK55">
        <v>9.1268339974925797E-2</v>
      </c>
      <c r="BL55">
        <v>0.63594975009555643</v>
      </c>
      <c r="BM55">
        <v>0.15786351658887901</v>
      </c>
      <c r="BN55">
        <v>0.60900125739342514</v>
      </c>
      <c r="BO55">
        <v>0.1578993107914865</v>
      </c>
      <c r="BP55">
        <v>0.59633481720065407</v>
      </c>
      <c r="BQ55">
        <v>0.16074246448901169</v>
      </c>
      <c r="BR55">
        <v>0.61097058266156512</v>
      </c>
      <c r="BS55">
        <v>0.15953607667653419</v>
      </c>
    </row>
    <row r="56" spans="1:71" x14ac:dyDescent="0.3">
      <c r="A56" t="s">
        <v>382</v>
      </c>
      <c r="B56" t="s">
        <v>66</v>
      </c>
      <c r="C56" t="s">
        <v>330</v>
      </c>
      <c r="D56" t="s">
        <v>325</v>
      </c>
      <c r="E56" s="2">
        <v>42951</v>
      </c>
      <c r="F56" s="2">
        <v>0.56041666666715173</v>
      </c>
      <c r="G56">
        <v>91</v>
      </c>
      <c r="H56" s="2">
        <v>42983</v>
      </c>
      <c r="I56" s="2">
        <v>0.30763888888759539</v>
      </c>
      <c r="J56" t="s">
        <v>383</v>
      </c>
      <c r="K56">
        <v>275</v>
      </c>
      <c r="L56" t="s">
        <v>70</v>
      </c>
      <c r="M56" t="s">
        <v>299</v>
      </c>
      <c r="N56" t="s">
        <v>384</v>
      </c>
      <c r="O56" t="s">
        <v>385</v>
      </c>
      <c r="P56" t="s">
        <v>386</v>
      </c>
      <c r="Q56" t="s">
        <v>387</v>
      </c>
      <c r="R56">
        <v>3.430994602929839</v>
      </c>
      <c r="S56">
        <v>0</v>
      </c>
      <c r="T56" s="6">
        <f t="shared" si="0"/>
        <v>3.430994602929839</v>
      </c>
      <c r="U56" s="6">
        <v>10.278546994624531</v>
      </c>
      <c r="V56" s="6">
        <v>0.32578595862518328</v>
      </c>
      <c r="W56" s="6">
        <f t="shared" si="1"/>
        <v>10.604332953249713</v>
      </c>
      <c r="X56" s="6">
        <v>10.87847469707769</v>
      </c>
      <c r="Y56" s="6">
        <v>0.1781895937277263</v>
      </c>
      <c r="Z56" s="6">
        <f t="shared" si="2"/>
        <v>11.056664290805417</v>
      </c>
      <c r="AA56" s="6">
        <v>10.06579317325536</v>
      </c>
      <c r="AB56" s="6">
        <v>0.1124669628296688</v>
      </c>
      <c r="AC56" s="6">
        <f t="shared" si="3"/>
        <v>10.178260136085028</v>
      </c>
      <c r="AD56" s="6">
        <v>9.0094612859625425</v>
      </c>
      <c r="AE56" s="6">
        <v>7.7234987449314549E-2</v>
      </c>
      <c r="AF56" s="6">
        <f t="shared" si="4"/>
        <v>9.0866962734118566</v>
      </c>
      <c r="AG56" s="6">
        <v>7.511485667578004</v>
      </c>
      <c r="AH56" s="6">
        <v>0.21421122354068611</v>
      </c>
      <c r="AI56" s="6">
        <f t="shared" si="5"/>
        <v>7.7256968911186901</v>
      </c>
      <c r="AJ56">
        <v>7.1678298919811763</v>
      </c>
      <c r="AK56" s="3">
        <v>0</v>
      </c>
      <c r="AL56" s="3">
        <v>0</v>
      </c>
      <c r="AM56" s="3">
        <v>0</v>
      </c>
      <c r="AN56">
        <v>4.36915473752848</v>
      </c>
      <c r="AO56">
        <v>102.24980791089111</v>
      </c>
      <c r="AP56">
        <v>60.03137145421185</v>
      </c>
      <c r="AQ56">
        <v>58.710498025119193</v>
      </c>
      <c r="AR56">
        <v>6.2466832134483274</v>
      </c>
      <c r="AS56">
        <v>144.2172172882151</v>
      </c>
      <c r="AT56">
        <v>95.201561714662816</v>
      </c>
      <c r="AU56">
        <v>66.012618676731577</v>
      </c>
      <c r="AV56">
        <v>6.9415581083408728</v>
      </c>
      <c r="AW56">
        <v>176.59761856429489</v>
      </c>
      <c r="AX56">
        <v>151.34496556907251</v>
      </c>
      <c r="AY56">
        <v>85.700456664975604</v>
      </c>
      <c r="AZ56">
        <v>7.2855384208907088</v>
      </c>
      <c r="BA56">
        <v>243.59529825356961</v>
      </c>
      <c r="BB56">
        <v>217.49305318440119</v>
      </c>
      <c r="BC56">
        <v>89.284585845332117</v>
      </c>
      <c r="BD56">
        <v>6.896016117988399</v>
      </c>
      <c r="BE56">
        <v>251.85771763945249</v>
      </c>
      <c r="BF56">
        <v>228.60881562236921</v>
      </c>
      <c r="BG56">
        <v>90.769033311750533</v>
      </c>
      <c r="BH56">
        <v>0.76287978883626217</v>
      </c>
      <c r="BI56">
        <v>9.93175428457308E-2</v>
      </c>
      <c r="BJ56">
        <v>0.79491810142574515</v>
      </c>
      <c r="BK56">
        <v>8.3827520675367306E-2</v>
      </c>
      <c r="BL56">
        <v>0.80415058151280949</v>
      </c>
      <c r="BM56">
        <v>7.4958335107248905E-2</v>
      </c>
      <c r="BN56">
        <v>0.80730514602041303</v>
      </c>
      <c r="BO56">
        <v>7.1322300974019398E-2</v>
      </c>
      <c r="BP56">
        <v>0.80337103666581733</v>
      </c>
      <c r="BQ56">
        <v>7.3413771465344696E-2</v>
      </c>
      <c r="BR56">
        <v>0.80065931816794578</v>
      </c>
      <c r="BS56">
        <v>7.7769738255728998E-2</v>
      </c>
    </row>
    <row r="57" spans="1:71" x14ac:dyDescent="0.3">
      <c r="A57" t="s">
        <v>382</v>
      </c>
      <c r="B57" t="s">
        <v>76</v>
      </c>
      <c r="C57" t="s">
        <v>363</v>
      </c>
      <c r="D57" t="s">
        <v>321</v>
      </c>
      <c r="E57" s="2">
        <v>42951</v>
      </c>
      <c r="F57" s="2">
        <v>0.60486111111094942</v>
      </c>
      <c r="G57">
        <v>92</v>
      </c>
      <c r="H57" s="2">
        <v>42983</v>
      </c>
      <c r="I57" s="2">
        <v>0.32638888889050582</v>
      </c>
      <c r="J57" t="s">
        <v>144</v>
      </c>
      <c r="K57">
        <v>155</v>
      </c>
      <c r="L57" t="s">
        <v>70</v>
      </c>
      <c r="M57" t="s">
        <v>299</v>
      </c>
      <c r="N57" t="s">
        <v>388</v>
      </c>
      <c r="O57" t="s">
        <v>389</v>
      </c>
      <c r="P57" t="s">
        <v>390</v>
      </c>
      <c r="R57">
        <v>3.430994602929839</v>
      </c>
      <c r="S57">
        <v>0</v>
      </c>
      <c r="T57" s="6">
        <f t="shared" si="0"/>
        <v>3.430994602929839</v>
      </c>
      <c r="U57" s="6">
        <v>10.278546994624531</v>
      </c>
      <c r="V57" s="6">
        <v>0.32578595862518328</v>
      </c>
      <c r="W57" s="6">
        <f t="shared" si="1"/>
        <v>10.604332953249713</v>
      </c>
      <c r="X57" s="6">
        <v>10.87847469707769</v>
      </c>
      <c r="Y57" s="6">
        <v>0.1781895937277263</v>
      </c>
      <c r="Z57" s="6">
        <f t="shared" si="2"/>
        <v>11.056664290805417</v>
      </c>
      <c r="AA57" s="6">
        <v>10.06579317325536</v>
      </c>
      <c r="AB57" s="6">
        <v>0.1124669628296688</v>
      </c>
      <c r="AC57" s="6">
        <f t="shared" si="3"/>
        <v>10.178260136085028</v>
      </c>
      <c r="AD57" s="6">
        <v>9.0094612859625425</v>
      </c>
      <c r="AE57" s="6">
        <v>7.7234987449314549E-2</v>
      </c>
      <c r="AF57" s="6">
        <f t="shared" si="4"/>
        <v>9.0866962734118566</v>
      </c>
      <c r="AG57" s="6">
        <v>7.511485667578004</v>
      </c>
      <c r="AH57" s="6">
        <v>0.21421122354068611</v>
      </c>
      <c r="AI57" s="6">
        <f t="shared" si="5"/>
        <v>7.7256968911186901</v>
      </c>
      <c r="AJ57">
        <v>7.1678298919811763</v>
      </c>
      <c r="AK57" s="3">
        <v>0</v>
      </c>
      <c r="AL57" s="3">
        <v>0</v>
      </c>
      <c r="AM57" s="3">
        <v>0</v>
      </c>
      <c r="AN57">
        <v>4.36915473752848</v>
      </c>
      <c r="AO57">
        <v>102.24980791089111</v>
      </c>
      <c r="AP57">
        <v>60.03137145421185</v>
      </c>
      <c r="AQ57">
        <v>58.710498025119193</v>
      </c>
      <c r="AR57">
        <v>6.2466832134483274</v>
      </c>
      <c r="AS57">
        <v>144.2172172882151</v>
      </c>
      <c r="AT57">
        <v>95.201561714662816</v>
      </c>
      <c r="AU57">
        <v>66.012618676731577</v>
      </c>
      <c r="AV57">
        <v>6.9415581083408728</v>
      </c>
      <c r="AW57">
        <v>176.59761856429489</v>
      </c>
      <c r="AX57">
        <v>151.34496556907251</v>
      </c>
      <c r="AY57">
        <v>85.700456664975604</v>
      </c>
      <c r="AZ57">
        <v>7.2855384208907088</v>
      </c>
      <c r="BA57">
        <v>243.59529825356961</v>
      </c>
      <c r="BB57">
        <v>217.49305318440119</v>
      </c>
      <c r="BC57">
        <v>89.284585845332117</v>
      </c>
      <c r="BD57">
        <v>6.896016117988399</v>
      </c>
      <c r="BE57">
        <v>251.85771763945249</v>
      </c>
      <c r="BF57">
        <v>228.60881562236921</v>
      </c>
      <c r="BG57">
        <v>90.769033311750533</v>
      </c>
      <c r="BH57">
        <v>0.76287978883626217</v>
      </c>
      <c r="BI57">
        <v>9.93175428457308E-2</v>
      </c>
      <c r="BJ57">
        <v>0.79491810142574515</v>
      </c>
      <c r="BK57">
        <v>8.3827520675367306E-2</v>
      </c>
      <c r="BL57">
        <v>0.80415058151280949</v>
      </c>
      <c r="BM57">
        <v>7.4958335107248905E-2</v>
      </c>
      <c r="BN57">
        <v>0.80730514602041303</v>
      </c>
      <c r="BO57">
        <v>7.1322300974019398E-2</v>
      </c>
      <c r="BP57">
        <v>0.80337103666581733</v>
      </c>
      <c r="BQ57">
        <v>7.3413771465344696E-2</v>
      </c>
      <c r="BR57">
        <v>0.80065931816794578</v>
      </c>
      <c r="BS57">
        <v>7.7769738255728998E-2</v>
      </c>
    </row>
    <row r="58" spans="1:71" x14ac:dyDescent="0.3">
      <c r="A58" t="s">
        <v>382</v>
      </c>
      <c r="B58" t="s">
        <v>83</v>
      </c>
      <c r="C58" t="s">
        <v>182</v>
      </c>
      <c r="D58" t="s">
        <v>377</v>
      </c>
      <c r="E58" s="2">
        <v>42951</v>
      </c>
      <c r="F58" s="2">
        <v>0.67777777777882875</v>
      </c>
      <c r="G58">
        <v>92</v>
      </c>
      <c r="H58" s="2">
        <v>42983</v>
      </c>
      <c r="I58" s="2">
        <v>0.31458333333284833</v>
      </c>
      <c r="J58" t="s">
        <v>96</v>
      </c>
      <c r="K58">
        <v>202</v>
      </c>
      <c r="L58" t="s">
        <v>70</v>
      </c>
      <c r="M58" t="s">
        <v>178</v>
      </c>
      <c r="N58" t="s">
        <v>391</v>
      </c>
      <c r="O58" t="s">
        <v>392</v>
      </c>
      <c r="P58" t="s">
        <v>393</v>
      </c>
      <c r="Q58" t="s">
        <v>394</v>
      </c>
      <c r="R58">
        <v>3.430994602929839</v>
      </c>
      <c r="S58">
        <v>0</v>
      </c>
      <c r="T58" s="6">
        <f t="shared" si="0"/>
        <v>3.430994602929839</v>
      </c>
      <c r="U58" s="6">
        <v>10.278546994624531</v>
      </c>
      <c r="V58" s="6">
        <v>0.32578595862518328</v>
      </c>
      <c r="W58" s="6">
        <f t="shared" si="1"/>
        <v>10.604332953249713</v>
      </c>
      <c r="X58" s="6">
        <v>10.87847469707769</v>
      </c>
      <c r="Y58" s="6">
        <v>0.1781895937277263</v>
      </c>
      <c r="Z58" s="6">
        <f t="shared" si="2"/>
        <v>11.056664290805417</v>
      </c>
      <c r="AA58" s="6">
        <v>10.06579317325536</v>
      </c>
      <c r="AB58" s="6">
        <v>0.1124669628296688</v>
      </c>
      <c r="AC58" s="6">
        <f t="shared" si="3"/>
        <v>10.178260136085028</v>
      </c>
      <c r="AD58" s="6">
        <v>9.0094612859625425</v>
      </c>
      <c r="AE58" s="6">
        <v>7.7234987449314549E-2</v>
      </c>
      <c r="AF58" s="6">
        <f t="shared" si="4"/>
        <v>9.0866962734118566</v>
      </c>
      <c r="AG58" s="6">
        <v>7.511485667578004</v>
      </c>
      <c r="AH58" s="6">
        <v>0.21421122354068611</v>
      </c>
      <c r="AI58" s="6">
        <f t="shared" si="5"/>
        <v>7.7256968911186901</v>
      </c>
      <c r="AJ58">
        <v>7.1678298919811763</v>
      </c>
      <c r="AK58" s="3">
        <v>0</v>
      </c>
      <c r="AL58" s="3">
        <v>0</v>
      </c>
      <c r="AM58" s="3">
        <v>0</v>
      </c>
      <c r="AN58">
        <v>4.36915473752848</v>
      </c>
      <c r="AO58">
        <v>102.24980791089111</v>
      </c>
      <c r="AP58">
        <v>60.03137145421185</v>
      </c>
      <c r="AQ58">
        <v>58.710498025119193</v>
      </c>
      <c r="AR58">
        <v>6.2466832134483274</v>
      </c>
      <c r="AS58">
        <v>144.2172172882151</v>
      </c>
      <c r="AT58">
        <v>95.201561714662816</v>
      </c>
      <c r="AU58">
        <v>66.012618676731577</v>
      </c>
      <c r="AV58">
        <v>6.9415581083408728</v>
      </c>
      <c r="AW58">
        <v>176.59761856429489</v>
      </c>
      <c r="AX58">
        <v>151.34496556907251</v>
      </c>
      <c r="AY58">
        <v>85.700456664975604</v>
      </c>
      <c r="AZ58">
        <v>7.2855384208907088</v>
      </c>
      <c r="BA58">
        <v>243.59529825356961</v>
      </c>
      <c r="BB58">
        <v>217.49305318440119</v>
      </c>
      <c r="BC58">
        <v>89.284585845332117</v>
      </c>
      <c r="BD58">
        <v>6.896016117988399</v>
      </c>
      <c r="BE58">
        <v>251.85771763945249</v>
      </c>
      <c r="BF58">
        <v>228.60881562236921</v>
      </c>
      <c r="BG58">
        <v>90.769033311750533</v>
      </c>
      <c r="BH58">
        <v>0.76287978883626217</v>
      </c>
      <c r="BI58">
        <v>9.93175428457308E-2</v>
      </c>
      <c r="BJ58">
        <v>0.79491810142574515</v>
      </c>
      <c r="BK58">
        <v>8.3827520675367306E-2</v>
      </c>
      <c r="BL58">
        <v>0.80415058151280949</v>
      </c>
      <c r="BM58">
        <v>7.4958335107248905E-2</v>
      </c>
      <c r="BN58">
        <v>0.80730514602041303</v>
      </c>
      <c r="BO58">
        <v>7.1322300974019398E-2</v>
      </c>
      <c r="BP58">
        <v>0.80337103666581733</v>
      </c>
      <c r="BQ58">
        <v>7.3413771465344696E-2</v>
      </c>
      <c r="BR58">
        <v>0.80065931816794578</v>
      </c>
      <c r="BS58">
        <v>7.7769738255728998E-2</v>
      </c>
    </row>
    <row r="59" spans="1:71" x14ac:dyDescent="0.3">
      <c r="A59" t="s">
        <v>395</v>
      </c>
      <c r="B59" t="s">
        <v>66</v>
      </c>
      <c r="C59" t="s">
        <v>142</v>
      </c>
      <c r="D59" t="s">
        <v>297</v>
      </c>
      <c r="E59" s="2">
        <v>43227</v>
      </c>
      <c r="F59" s="2">
        <v>0.39444444444598048</v>
      </c>
      <c r="G59">
        <v>97</v>
      </c>
      <c r="H59" s="2">
        <v>43259</v>
      </c>
      <c r="I59" s="2">
        <v>0.33750000000145519</v>
      </c>
      <c r="J59" t="s">
        <v>396</v>
      </c>
      <c r="K59">
        <v>172</v>
      </c>
      <c r="L59" t="s">
        <v>177</v>
      </c>
      <c r="M59" t="s">
        <v>188</v>
      </c>
      <c r="N59" t="s">
        <v>397</v>
      </c>
      <c r="O59" t="s">
        <v>398</v>
      </c>
      <c r="P59" t="s">
        <v>399</v>
      </c>
      <c r="Q59" t="s">
        <v>199</v>
      </c>
      <c r="R59">
        <v>11.474778590681559</v>
      </c>
      <c r="S59">
        <v>0</v>
      </c>
      <c r="T59" s="6">
        <f t="shared" si="0"/>
        <v>11.474778590681559</v>
      </c>
      <c r="U59" s="6">
        <v>20.991064175467098</v>
      </c>
      <c r="V59" s="6">
        <v>0</v>
      </c>
      <c r="W59" s="6">
        <f t="shared" si="1"/>
        <v>20.991064175467098</v>
      </c>
      <c r="X59" s="6">
        <v>22.532074126870999</v>
      </c>
      <c r="Y59" s="6">
        <v>0</v>
      </c>
      <c r="Z59" s="6">
        <f t="shared" si="2"/>
        <v>22.532074126870999</v>
      </c>
      <c r="AA59" s="6">
        <v>18.976749410311129</v>
      </c>
      <c r="AB59" s="6">
        <v>0</v>
      </c>
      <c r="AC59" s="6">
        <f t="shared" si="3"/>
        <v>18.976749410311129</v>
      </c>
      <c r="AD59" s="6">
        <v>19.307121890931558</v>
      </c>
      <c r="AE59" s="6">
        <v>4.2484164993048038E-2</v>
      </c>
      <c r="AF59" s="6">
        <f t="shared" si="4"/>
        <v>19.349606055924607</v>
      </c>
      <c r="AG59" s="6">
        <v>19.800473452823809</v>
      </c>
      <c r="AH59" s="6">
        <v>7.8908803967985566E-2</v>
      </c>
      <c r="AI59" s="6">
        <f t="shared" si="5"/>
        <v>19.879382256791793</v>
      </c>
      <c r="AJ59">
        <v>4.0000249209943961</v>
      </c>
      <c r="AK59" s="3">
        <v>125.3751150998155</v>
      </c>
      <c r="AL59">
        <v>135.4458641841245</v>
      </c>
      <c r="AM59">
        <v>108.0324943879744</v>
      </c>
      <c r="AN59">
        <v>7.9979847800754804</v>
      </c>
      <c r="AO59">
        <v>138.26672865808649</v>
      </c>
      <c r="AP59">
        <v>96.381315444004528</v>
      </c>
      <c r="AQ59">
        <v>69.706802481992241</v>
      </c>
      <c r="AR59">
        <v>13.578608087510521</v>
      </c>
      <c r="AS59">
        <v>92.846583823073075</v>
      </c>
      <c r="AT59">
        <v>51.689406304940661</v>
      </c>
      <c r="AU59">
        <v>55.671845076647237</v>
      </c>
      <c r="AV59">
        <v>11.831996680511811</v>
      </c>
      <c r="AW59">
        <v>130.29395473074621</v>
      </c>
      <c r="AX59">
        <v>133.9572446800174</v>
      </c>
      <c r="AY59">
        <v>102.8115578783693</v>
      </c>
      <c r="AZ59">
        <v>10.90084788917337</v>
      </c>
      <c r="BA59">
        <v>132.34839040313341</v>
      </c>
      <c r="BB59">
        <v>133.3857255307642</v>
      </c>
      <c r="BC59">
        <v>100.7837912682362</v>
      </c>
      <c r="BD59">
        <v>11.830610619934919</v>
      </c>
      <c r="BE59">
        <v>132.5495936266951</v>
      </c>
      <c r="BF59">
        <v>92.179445369569322</v>
      </c>
      <c r="BG59">
        <v>69.543363240462369</v>
      </c>
      <c r="BH59">
        <v>0.82043056600135578</v>
      </c>
      <c r="BI59">
        <v>8.2058759215371202E-2</v>
      </c>
      <c r="BJ59">
        <v>0.83038502447242346</v>
      </c>
      <c r="BK59">
        <v>8.3957390247873201E-2</v>
      </c>
      <c r="BL59">
        <v>0.831100870347381</v>
      </c>
      <c r="BM59">
        <v>7.71045140729016E-2</v>
      </c>
      <c r="BN59">
        <v>0.82930400284630379</v>
      </c>
      <c r="BO59">
        <v>8.1315676740145407E-2</v>
      </c>
      <c r="BP59">
        <v>0.83000390316658379</v>
      </c>
      <c r="BQ59">
        <v>7.5291755923501694E-2</v>
      </c>
      <c r="BR59">
        <v>0.83257489017125141</v>
      </c>
      <c r="BS59">
        <v>7.2859007581243404E-2</v>
      </c>
    </row>
    <row r="60" spans="1:71" x14ac:dyDescent="0.3">
      <c r="A60" t="s">
        <v>395</v>
      </c>
      <c r="B60" t="s">
        <v>76</v>
      </c>
      <c r="C60" t="s">
        <v>330</v>
      </c>
      <c r="D60" t="s">
        <v>241</v>
      </c>
      <c r="E60" s="2">
        <v>43227</v>
      </c>
      <c r="F60" s="2">
        <v>0.42222222222335398</v>
      </c>
      <c r="G60">
        <v>97</v>
      </c>
      <c r="H60" s="2">
        <v>43259</v>
      </c>
      <c r="I60" s="2">
        <v>0.3756944444430701</v>
      </c>
      <c r="J60" t="s">
        <v>86</v>
      </c>
      <c r="K60">
        <v>362</v>
      </c>
      <c r="L60" t="s">
        <v>157</v>
      </c>
      <c r="M60" t="s">
        <v>262</v>
      </c>
      <c r="N60" t="s">
        <v>400</v>
      </c>
      <c r="O60" t="s">
        <v>401</v>
      </c>
      <c r="P60" t="s">
        <v>402</v>
      </c>
      <c r="R60">
        <v>11.474778590681559</v>
      </c>
      <c r="S60">
        <v>0</v>
      </c>
      <c r="T60" s="6">
        <f t="shared" si="0"/>
        <v>11.474778590681559</v>
      </c>
      <c r="U60" s="6">
        <v>20.991064175467098</v>
      </c>
      <c r="V60" s="6">
        <v>0</v>
      </c>
      <c r="W60" s="6">
        <f t="shared" si="1"/>
        <v>20.991064175467098</v>
      </c>
      <c r="X60" s="6">
        <v>22.532074126870999</v>
      </c>
      <c r="Y60" s="6">
        <v>0</v>
      </c>
      <c r="Z60" s="6">
        <f t="shared" si="2"/>
        <v>22.532074126870999</v>
      </c>
      <c r="AA60" s="6">
        <v>18.976749410311129</v>
      </c>
      <c r="AB60" s="6">
        <v>0</v>
      </c>
      <c r="AC60" s="6">
        <f t="shared" si="3"/>
        <v>18.976749410311129</v>
      </c>
      <c r="AD60" s="6">
        <v>19.307121890931558</v>
      </c>
      <c r="AE60" s="6">
        <v>4.2484164993048038E-2</v>
      </c>
      <c r="AF60" s="6">
        <f t="shared" si="4"/>
        <v>19.349606055924607</v>
      </c>
      <c r="AG60" s="6">
        <v>19.800473452823809</v>
      </c>
      <c r="AH60" s="6">
        <v>7.8908803967985566E-2</v>
      </c>
      <c r="AI60" s="6">
        <f t="shared" si="5"/>
        <v>19.879382256791793</v>
      </c>
      <c r="AJ60">
        <v>4.0000249209943961</v>
      </c>
      <c r="AK60" s="3">
        <v>125.3751150998155</v>
      </c>
      <c r="AL60">
        <v>135.4458641841245</v>
      </c>
      <c r="AM60">
        <v>108.0324943879744</v>
      </c>
      <c r="AN60">
        <v>7.9979847800754804</v>
      </c>
      <c r="AO60">
        <v>138.26672865808649</v>
      </c>
      <c r="AP60">
        <v>96.381315444004528</v>
      </c>
      <c r="AQ60">
        <v>69.706802481992241</v>
      </c>
      <c r="AR60">
        <v>13.578608087510521</v>
      </c>
      <c r="AS60">
        <v>92.846583823073075</v>
      </c>
      <c r="AT60">
        <v>51.689406304940661</v>
      </c>
      <c r="AU60">
        <v>55.671845076647237</v>
      </c>
      <c r="AV60">
        <v>11.831996680511811</v>
      </c>
      <c r="AW60">
        <v>130.29395473074621</v>
      </c>
      <c r="AX60">
        <v>133.9572446800174</v>
      </c>
      <c r="AY60">
        <v>102.8115578783693</v>
      </c>
      <c r="AZ60">
        <v>10.90084788917337</v>
      </c>
      <c r="BA60">
        <v>132.34839040313341</v>
      </c>
      <c r="BB60">
        <v>133.3857255307642</v>
      </c>
      <c r="BC60">
        <v>100.7837912682362</v>
      </c>
      <c r="BD60">
        <v>11.830610619934919</v>
      </c>
      <c r="BE60">
        <v>132.5495936266951</v>
      </c>
      <c r="BF60">
        <v>92.179445369569322</v>
      </c>
      <c r="BG60">
        <v>69.543363240462369</v>
      </c>
      <c r="BH60">
        <v>0.82043056600135578</v>
      </c>
      <c r="BI60">
        <v>8.2058759215371202E-2</v>
      </c>
      <c r="BJ60">
        <v>0.83038502447242346</v>
      </c>
      <c r="BK60">
        <v>8.3957390247873201E-2</v>
      </c>
      <c r="BL60">
        <v>0.831100870347381</v>
      </c>
      <c r="BM60">
        <v>7.71045140729016E-2</v>
      </c>
      <c r="BN60">
        <v>0.82930400284630379</v>
      </c>
      <c r="BO60">
        <v>8.1315676740145407E-2</v>
      </c>
      <c r="BP60">
        <v>0.83000390316658379</v>
      </c>
      <c r="BQ60">
        <v>7.5291755923501694E-2</v>
      </c>
      <c r="BR60">
        <v>0.83257489017125141</v>
      </c>
      <c r="BS60">
        <v>7.2859007581243404E-2</v>
      </c>
    </row>
    <row r="61" spans="1:71" x14ac:dyDescent="0.3">
      <c r="A61" t="s">
        <v>395</v>
      </c>
      <c r="B61" t="s">
        <v>83</v>
      </c>
      <c r="C61" t="s">
        <v>77</v>
      </c>
      <c r="D61" t="s">
        <v>278</v>
      </c>
      <c r="E61" s="2">
        <v>43227</v>
      </c>
      <c r="F61" s="2">
        <v>0.47777777777810121</v>
      </c>
      <c r="G61">
        <v>97</v>
      </c>
      <c r="H61" s="2">
        <v>43259</v>
      </c>
      <c r="I61" s="2">
        <v>0.36736111111167702</v>
      </c>
      <c r="J61" t="s">
        <v>137</v>
      </c>
      <c r="K61">
        <v>927</v>
      </c>
      <c r="L61" t="s">
        <v>70</v>
      </c>
      <c r="M61" t="s">
        <v>178</v>
      </c>
      <c r="N61" t="s">
        <v>403</v>
      </c>
      <c r="O61" t="s">
        <v>404</v>
      </c>
      <c r="P61" t="s">
        <v>405</v>
      </c>
      <c r="Q61" t="s">
        <v>406</v>
      </c>
      <c r="R61">
        <v>11.474778590681559</v>
      </c>
      <c r="S61">
        <v>0</v>
      </c>
      <c r="T61" s="6">
        <f t="shared" si="0"/>
        <v>11.474778590681559</v>
      </c>
      <c r="U61" s="6">
        <v>20.991064175467098</v>
      </c>
      <c r="V61" s="6">
        <v>0</v>
      </c>
      <c r="W61" s="6">
        <f t="shared" si="1"/>
        <v>20.991064175467098</v>
      </c>
      <c r="X61" s="6">
        <v>22.532074126870999</v>
      </c>
      <c r="Y61" s="6">
        <v>0</v>
      </c>
      <c r="Z61" s="6">
        <f t="shared" si="2"/>
        <v>22.532074126870999</v>
      </c>
      <c r="AA61" s="6">
        <v>18.976749410311129</v>
      </c>
      <c r="AB61" s="6">
        <v>0</v>
      </c>
      <c r="AC61" s="6">
        <f t="shared" si="3"/>
        <v>18.976749410311129</v>
      </c>
      <c r="AD61" s="6">
        <v>19.307121890931558</v>
      </c>
      <c r="AE61" s="6">
        <v>4.2484164993048038E-2</v>
      </c>
      <c r="AF61" s="6">
        <f t="shared" si="4"/>
        <v>19.349606055924607</v>
      </c>
      <c r="AG61" s="6">
        <v>19.800473452823809</v>
      </c>
      <c r="AH61" s="6">
        <v>7.8908803967985566E-2</v>
      </c>
      <c r="AI61" s="6">
        <f t="shared" si="5"/>
        <v>19.879382256791793</v>
      </c>
      <c r="AJ61">
        <v>4.0000249209943961</v>
      </c>
      <c r="AK61" s="3">
        <v>125.3751150998155</v>
      </c>
      <c r="AL61">
        <v>135.4458641841245</v>
      </c>
      <c r="AM61">
        <v>108.0324943879744</v>
      </c>
      <c r="AN61">
        <v>7.9979847800754804</v>
      </c>
      <c r="AO61">
        <v>138.26672865808649</v>
      </c>
      <c r="AP61">
        <v>96.381315444004528</v>
      </c>
      <c r="AQ61">
        <v>69.706802481992241</v>
      </c>
      <c r="AR61">
        <v>13.578608087510521</v>
      </c>
      <c r="AS61">
        <v>92.846583823073075</v>
      </c>
      <c r="AT61">
        <v>51.689406304940661</v>
      </c>
      <c r="AU61">
        <v>55.671845076647237</v>
      </c>
      <c r="AV61">
        <v>11.831996680511811</v>
      </c>
      <c r="AW61">
        <v>130.29395473074621</v>
      </c>
      <c r="AX61">
        <v>133.9572446800174</v>
      </c>
      <c r="AY61">
        <v>102.8115578783693</v>
      </c>
      <c r="AZ61">
        <v>10.90084788917337</v>
      </c>
      <c r="BA61">
        <v>132.34839040313341</v>
      </c>
      <c r="BB61">
        <v>133.3857255307642</v>
      </c>
      <c r="BC61">
        <v>100.7837912682362</v>
      </c>
      <c r="BD61">
        <v>11.830610619934919</v>
      </c>
      <c r="BE61">
        <v>132.5495936266951</v>
      </c>
      <c r="BF61">
        <v>92.179445369569322</v>
      </c>
      <c r="BG61">
        <v>69.543363240462369</v>
      </c>
      <c r="BH61">
        <v>0.82043056600135578</v>
      </c>
      <c r="BI61">
        <v>8.2058759215371202E-2</v>
      </c>
      <c r="BJ61">
        <v>0.83038502447242346</v>
      </c>
      <c r="BK61">
        <v>8.3957390247873201E-2</v>
      </c>
      <c r="BL61">
        <v>0.831100870347381</v>
      </c>
      <c r="BM61">
        <v>7.71045140729016E-2</v>
      </c>
      <c r="BN61">
        <v>0.82930400284630379</v>
      </c>
      <c r="BO61">
        <v>8.1315676740145407E-2</v>
      </c>
      <c r="BP61">
        <v>0.83000390316658379</v>
      </c>
      <c r="BQ61">
        <v>7.5291755923501694E-2</v>
      </c>
      <c r="BR61">
        <v>0.83257489017125141</v>
      </c>
      <c r="BS61">
        <v>7.2859007581243404E-2</v>
      </c>
    </row>
    <row r="62" spans="1:71" x14ac:dyDescent="0.3">
      <c r="A62" t="s">
        <v>407</v>
      </c>
      <c r="B62" t="s">
        <v>66</v>
      </c>
      <c r="C62" t="s">
        <v>363</v>
      </c>
      <c r="D62" t="s">
        <v>297</v>
      </c>
      <c r="E62" s="2">
        <v>42923</v>
      </c>
      <c r="F62" s="2">
        <v>0.32638888889050582</v>
      </c>
      <c r="G62">
        <v>94</v>
      </c>
      <c r="H62" s="2">
        <v>42951</v>
      </c>
      <c r="I62" s="2">
        <v>0.31111111111022183</v>
      </c>
      <c r="J62" t="s">
        <v>408</v>
      </c>
      <c r="K62">
        <v>279</v>
      </c>
      <c r="L62" t="s">
        <v>87</v>
      </c>
      <c r="M62" t="s">
        <v>304</v>
      </c>
      <c r="N62" t="s">
        <v>409</v>
      </c>
      <c r="O62" t="s">
        <v>410</v>
      </c>
      <c r="P62" t="s">
        <v>411</v>
      </c>
      <c r="R62">
        <v>11.2015503875969</v>
      </c>
      <c r="S62">
        <v>0</v>
      </c>
      <c r="T62" s="6">
        <f t="shared" si="0"/>
        <v>11.2015503875969</v>
      </c>
      <c r="U62" s="6">
        <v>13.444696723970161</v>
      </c>
      <c r="V62" s="6">
        <v>0</v>
      </c>
      <c r="W62" s="6">
        <f t="shared" si="1"/>
        <v>13.444696723970161</v>
      </c>
      <c r="X62" s="6">
        <v>14.213107445385649</v>
      </c>
      <c r="Y62" s="6">
        <v>0</v>
      </c>
      <c r="Z62" s="6">
        <f t="shared" si="2"/>
        <v>14.213107445385649</v>
      </c>
      <c r="AA62" s="6">
        <v>13.973063973063971</v>
      </c>
      <c r="AB62" s="6">
        <v>0</v>
      </c>
      <c r="AC62" s="6">
        <f t="shared" si="3"/>
        <v>13.973063973063971</v>
      </c>
      <c r="AD62" s="6">
        <v>10.90761562536224</v>
      </c>
      <c r="AE62" s="6">
        <v>0</v>
      </c>
      <c r="AF62" s="6">
        <f t="shared" si="4"/>
        <v>10.90761562536224</v>
      </c>
      <c r="AG62" s="6">
        <v>8.7581993750175968</v>
      </c>
      <c r="AH62" s="6">
        <v>0</v>
      </c>
      <c r="AI62" s="6">
        <f t="shared" si="5"/>
        <v>8.7581993750175968</v>
      </c>
      <c r="AJ62">
        <v>7.7315917935998817</v>
      </c>
      <c r="AK62" s="3">
        <v>371.21338946756748</v>
      </c>
      <c r="AL62">
        <v>495.49824595677728</v>
      </c>
      <c r="AM62">
        <v>133.48070409514909</v>
      </c>
      <c r="AN62">
        <v>11.127586105715681</v>
      </c>
      <c r="AO62">
        <v>361.65516899467139</v>
      </c>
      <c r="AP62">
        <v>337.1236557429462</v>
      </c>
      <c r="AQ62">
        <v>93.216877469242903</v>
      </c>
      <c r="AR62">
        <v>16.047079842446411</v>
      </c>
      <c r="AS62">
        <v>285.42898841517268</v>
      </c>
      <c r="AT62">
        <v>239.78475365156169</v>
      </c>
      <c r="AU62">
        <v>84.00854972122913</v>
      </c>
      <c r="AV62">
        <v>22.290966617887079</v>
      </c>
      <c r="AW62">
        <v>317.56279791667657</v>
      </c>
      <c r="AX62">
        <v>244.13699533457759</v>
      </c>
      <c r="AY62">
        <v>76.878336170421079</v>
      </c>
      <c r="AZ62">
        <v>15.151772251066919</v>
      </c>
      <c r="BA62">
        <v>288.58804443961878</v>
      </c>
      <c r="BB62">
        <v>308.16995795980017</v>
      </c>
      <c r="BC62">
        <v>106.785420913124</v>
      </c>
      <c r="BD62">
        <v>9.2796998726403022</v>
      </c>
      <c r="BE62">
        <v>249.94292243785119</v>
      </c>
      <c r="BF62">
        <v>235.9091462992283</v>
      </c>
      <c r="BG62">
        <v>94.385207629909019</v>
      </c>
      <c r="BH62">
        <v>0.84263962658327074</v>
      </c>
      <c r="BI62">
        <v>5.5063609883583498E-2</v>
      </c>
      <c r="BJ62">
        <v>0.83740263075624055</v>
      </c>
      <c r="BK62">
        <v>5.4275290073659103E-2</v>
      </c>
      <c r="BL62">
        <v>0.8364609413893962</v>
      </c>
      <c r="BM62">
        <v>5.0294348496813197E-2</v>
      </c>
      <c r="BN62">
        <v>0.84288103893938393</v>
      </c>
      <c r="BO62">
        <v>4.5693370869060099E-2</v>
      </c>
      <c r="BP62">
        <v>0.84024944559200265</v>
      </c>
      <c r="BQ62">
        <v>5.0378993773231601E-2</v>
      </c>
      <c r="BR62">
        <v>0.83714981451522807</v>
      </c>
      <c r="BS62">
        <v>5.3267146790075499E-2</v>
      </c>
    </row>
    <row r="63" spans="1:71" x14ac:dyDescent="0.3">
      <c r="A63" t="s">
        <v>407</v>
      </c>
      <c r="B63" t="s">
        <v>76</v>
      </c>
      <c r="C63" t="s">
        <v>182</v>
      </c>
      <c r="D63" t="s">
        <v>293</v>
      </c>
      <c r="E63" s="2">
        <v>42923</v>
      </c>
      <c r="F63" s="2">
        <v>0.35416666666787933</v>
      </c>
      <c r="G63">
        <v>91</v>
      </c>
      <c r="H63" s="2">
        <v>42951</v>
      </c>
      <c r="I63" s="2">
        <v>0.37638888888977817</v>
      </c>
      <c r="J63" t="s">
        <v>257</v>
      </c>
      <c r="K63">
        <v>285</v>
      </c>
      <c r="L63" t="s">
        <v>87</v>
      </c>
      <c r="M63" t="s">
        <v>188</v>
      </c>
      <c r="N63" t="s">
        <v>412</v>
      </c>
      <c r="O63" t="s">
        <v>413</v>
      </c>
      <c r="P63" t="s">
        <v>414</v>
      </c>
      <c r="R63">
        <v>11.2015503875969</v>
      </c>
      <c r="S63">
        <v>0</v>
      </c>
      <c r="T63" s="6">
        <f t="shared" si="0"/>
        <v>11.2015503875969</v>
      </c>
      <c r="U63" s="6">
        <v>13.444696723970161</v>
      </c>
      <c r="V63" s="6">
        <v>0</v>
      </c>
      <c r="W63" s="6">
        <f t="shared" si="1"/>
        <v>13.444696723970161</v>
      </c>
      <c r="X63" s="6">
        <v>14.213107445385649</v>
      </c>
      <c r="Y63" s="6">
        <v>0</v>
      </c>
      <c r="Z63" s="6">
        <f t="shared" si="2"/>
        <v>14.213107445385649</v>
      </c>
      <c r="AA63" s="6">
        <v>13.973063973063971</v>
      </c>
      <c r="AB63" s="6">
        <v>0</v>
      </c>
      <c r="AC63" s="6">
        <f t="shared" si="3"/>
        <v>13.973063973063971</v>
      </c>
      <c r="AD63" s="6">
        <v>10.90761562536224</v>
      </c>
      <c r="AE63" s="6">
        <v>0</v>
      </c>
      <c r="AF63" s="6">
        <f t="shared" si="4"/>
        <v>10.90761562536224</v>
      </c>
      <c r="AG63" s="6">
        <v>8.7581993750175968</v>
      </c>
      <c r="AH63" s="6">
        <v>0</v>
      </c>
      <c r="AI63" s="6">
        <f t="shared" si="5"/>
        <v>8.7581993750175968</v>
      </c>
      <c r="AJ63">
        <v>7.7315917935998817</v>
      </c>
      <c r="AK63" s="3">
        <v>371.21338946756748</v>
      </c>
      <c r="AL63">
        <v>495.49824595677728</v>
      </c>
      <c r="AM63">
        <v>133.48070409514909</v>
      </c>
      <c r="AN63">
        <v>11.127586105715681</v>
      </c>
      <c r="AO63">
        <v>361.65516899467139</v>
      </c>
      <c r="AP63">
        <v>337.1236557429462</v>
      </c>
      <c r="AQ63">
        <v>93.216877469242903</v>
      </c>
      <c r="AR63">
        <v>16.047079842446411</v>
      </c>
      <c r="AS63">
        <v>285.42898841517268</v>
      </c>
      <c r="AT63">
        <v>239.78475365156169</v>
      </c>
      <c r="AU63">
        <v>84.00854972122913</v>
      </c>
      <c r="AV63">
        <v>22.290966617887079</v>
      </c>
      <c r="AW63">
        <v>317.56279791667657</v>
      </c>
      <c r="AX63">
        <v>244.13699533457759</v>
      </c>
      <c r="AY63">
        <v>76.878336170421079</v>
      </c>
      <c r="AZ63">
        <v>15.151772251066919</v>
      </c>
      <c r="BA63">
        <v>288.58804443961878</v>
      </c>
      <c r="BB63">
        <v>308.16995795980017</v>
      </c>
      <c r="BC63">
        <v>106.785420913124</v>
      </c>
      <c r="BD63">
        <v>9.2796998726403022</v>
      </c>
      <c r="BE63">
        <v>249.94292243785119</v>
      </c>
      <c r="BF63">
        <v>235.9091462992283</v>
      </c>
      <c r="BG63">
        <v>94.385207629909019</v>
      </c>
      <c r="BH63">
        <v>0.84263962658327074</v>
      </c>
      <c r="BI63">
        <v>5.5063609883583498E-2</v>
      </c>
      <c r="BJ63">
        <v>0.83740263075624055</v>
      </c>
      <c r="BK63">
        <v>5.4275290073659103E-2</v>
      </c>
      <c r="BL63">
        <v>0.8364609413893962</v>
      </c>
      <c r="BM63">
        <v>5.0294348496813197E-2</v>
      </c>
      <c r="BN63">
        <v>0.84288103893938393</v>
      </c>
      <c r="BO63">
        <v>4.5693370869060099E-2</v>
      </c>
      <c r="BP63">
        <v>0.84024944559200265</v>
      </c>
      <c r="BQ63">
        <v>5.0378993773231601E-2</v>
      </c>
      <c r="BR63">
        <v>0.83714981451522807</v>
      </c>
      <c r="BS63">
        <v>5.3267146790075499E-2</v>
      </c>
    </row>
    <row r="64" spans="1:71" x14ac:dyDescent="0.3">
      <c r="A64" t="s">
        <v>407</v>
      </c>
      <c r="B64" t="s">
        <v>83</v>
      </c>
      <c r="C64" t="s">
        <v>330</v>
      </c>
      <c r="D64" t="s">
        <v>415</v>
      </c>
      <c r="E64" s="2">
        <v>42923</v>
      </c>
      <c r="F64" s="2">
        <v>0.44444444444525288</v>
      </c>
      <c r="G64">
        <v>92</v>
      </c>
      <c r="H64" s="2">
        <v>42951</v>
      </c>
      <c r="I64" s="2">
        <v>0.39861111111167702</v>
      </c>
      <c r="J64" t="s">
        <v>396</v>
      </c>
      <c r="K64">
        <v>267</v>
      </c>
      <c r="L64" t="s">
        <v>220</v>
      </c>
      <c r="M64" t="s">
        <v>188</v>
      </c>
      <c r="N64" t="s">
        <v>416</v>
      </c>
      <c r="O64" t="s">
        <v>417</v>
      </c>
      <c r="P64" t="s">
        <v>418</v>
      </c>
      <c r="R64">
        <v>11.2015503875969</v>
      </c>
      <c r="S64">
        <v>0</v>
      </c>
      <c r="T64" s="6">
        <f t="shared" si="0"/>
        <v>11.2015503875969</v>
      </c>
      <c r="U64" s="6">
        <v>13.444696723970161</v>
      </c>
      <c r="V64" s="6">
        <v>0</v>
      </c>
      <c r="W64" s="6">
        <f t="shared" si="1"/>
        <v>13.444696723970161</v>
      </c>
      <c r="X64" s="6">
        <v>14.213107445385649</v>
      </c>
      <c r="Y64" s="6">
        <v>0</v>
      </c>
      <c r="Z64" s="6">
        <f t="shared" si="2"/>
        <v>14.213107445385649</v>
      </c>
      <c r="AA64" s="6">
        <v>13.973063973063971</v>
      </c>
      <c r="AB64" s="6">
        <v>0</v>
      </c>
      <c r="AC64" s="6">
        <f t="shared" si="3"/>
        <v>13.973063973063971</v>
      </c>
      <c r="AD64" s="6">
        <v>10.90761562536224</v>
      </c>
      <c r="AE64" s="6">
        <v>0</v>
      </c>
      <c r="AF64" s="6">
        <f t="shared" si="4"/>
        <v>10.90761562536224</v>
      </c>
      <c r="AG64" s="6">
        <v>8.7581993750175968</v>
      </c>
      <c r="AH64" s="6">
        <v>0</v>
      </c>
      <c r="AI64" s="6">
        <f t="shared" si="5"/>
        <v>8.7581993750175968</v>
      </c>
      <c r="AJ64">
        <v>7.7315917935998817</v>
      </c>
      <c r="AK64" s="3">
        <v>371.21338946756748</v>
      </c>
      <c r="AL64">
        <v>495.49824595677728</v>
      </c>
      <c r="AM64">
        <v>133.48070409514909</v>
      </c>
      <c r="AN64">
        <v>11.127586105715681</v>
      </c>
      <c r="AO64">
        <v>361.65516899467139</v>
      </c>
      <c r="AP64">
        <v>337.1236557429462</v>
      </c>
      <c r="AQ64">
        <v>93.216877469242903</v>
      </c>
      <c r="AR64">
        <v>16.047079842446411</v>
      </c>
      <c r="AS64">
        <v>285.42898841517268</v>
      </c>
      <c r="AT64">
        <v>239.78475365156169</v>
      </c>
      <c r="AU64">
        <v>84.00854972122913</v>
      </c>
      <c r="AV64">
        <v>22.290966617887079</v>
      </c>
      <c r="AW64">
        <v>317.56279791667657</v>
      </c>
      <c r="AX64">
        <v>244.13699533457759</v>
      </c>
      <c r="AY64">
        <v>76.878336170421079</v>
      </c>
      <c r="AZ64">
        <v>15.151772251066919</v>
      </c>
      <c r="BA64">
        <v>288.58804443961878</v>
      </c>
      <c r="BB64">
        <v>308.16995795980017</v>
      </c>
      <c r="BC64">
        <v>106.785420913124</v>
      </c>
      <c r="BD64">
        <v>9.2796998726403022</v>
      </c>
      <c r="BE64">
        <v>249.94292243785119</v>
      </c>
      <c r="BF64">
        <v>235.9091462992283</v>
      </c>
      <c r="BG64">
        <v>94.385207629909019</v>
      </c>
      <c r="BH64">
        <v>0.84263962658327074</v>
      </c>
      <c r="BI64">
        <v>5.5063609883583498E-2</v>
      </c>
      <c r="BJ64">
        <v>0.83740263075624055</v>
      </c>
      <c r="BK64">
        <v>5.4275290073659103E-2</v>
      </c>
      <c r="BL64">
        <v>0.8364609413893962</v>
      </c>
      <c r="BM64">
        <v>5.0294348496813197E-2</v>
      </c>
      <c r="BN64">
        <v>0.84288103893938393</v>
      </c>
      <c r="BO64">
        <v>4.5693370869060099E-2</v>
      </c>
      <c r="BP64">
        <v>0.84024944559200265</v>
      </c>
      <c r="BQ64">
        <v>5.0378993773231601E-2</v>
      </c>
      <c r="BR64">
        <v>0.83714981451522807</v>
      </c>
      <c r="BS64">
        <v>5.3267146790075499E-2</v>
      </c>
    </row>
    <row r="65" spans="1:71" x14ac:dyDescent="0.3">
      <c r="A65" t="s">
        <v>419</v>
      </c>
      <c r="B65" t="s">
        <v>66</v>
      </c>
      <c r="C65" t="s">
        <v>363</v>
      </c>
      <c r="D65" t="s">
        <v>420</v>
      </c>
      <c r="E65" s="2">
        <v>42983</v>
      </c>
      <c r="F65" s="2">
        <v>0.46180555555474712</v>
      </c>
      <c r="G65">
        <v>93</v>
      </c>
      <c r="H65" s="2">
        <v>43012</v>
      </c>
      <c r="I65" s="2">
        <v>0.35069444444525288</v>
      </c>
      <c r="J65" t="s">
        <v>156</v>
      </c>
      <c r="K65">
        <v>204</v>
      </c>
      <c r="L65" t="s">
        <v>70</v>
      </c>
      <c r="M65" t="s">
        <v>304</v>
      </c>
      <c r="N65" t="s">
        <v>421</v>
      </c>
      <c r="O65" t="s">
        <v>422</v>
      </c>
      <c r="P65" t="s">
        <v>423</v>
      </c>
      <c r="Q65" t="s">
        <v>424</v>
      </c>
      <c r="R65">
        <v>9.8884186225471318</v>
      </c>
      <c r="S65">
        <v>1.03886110042324</v>
      </c>
      <c r="T65" s="6">
        <f t="shared" si="0"/>
        <v>10.927279722970372</v>
      </c>
      <c r="U65" s="6">
        <v>9.7303443794671853</v>
      </c>
      <c r="V65" s="6">
        <v>1.0883690708252109</v>
      </c>
      <c r="W65" s="6">
        <f t="shared" si="1"/>
        <v>10.818713450292396</v>
      </c>
      <c r="X65" s="6">
        <v>11.26948775055679</v>
      </c>
      <c r="Y65" s="6">
        <v>1.131403118040089</v>
      </c>
      <c r="Z65" s="6">
        <f t="shared" si="2"/>
        <v>12.400890868596878</v>
      </c>
      <c r="AA65" s="6">
        <v>12.43398134621868</v>
      </c>
      <c r="AB65" s="6">
        <v>1.34846611978874</v>
      </c>
      <c r="AC65" s="6">
        <f t="shared" si="3"/>
        <v>13.782447466007419</v>
      </c>
      <c r="AD65" s="6">
        <v>11.76266079499363</v>
      </c>
      <c r="AE65" s="6">
        <v>1.2554564066906171</v>
      </c>
      <c r="AF65" s="6">
        <f t="shared" si="4"/>
        <v>13.018117201684248</v>
      </c>
      <c r="AG65" s="6">
        <v>11.88832859114855</v>
      </c>
      <c r="AH65" s="6">
        <v>1.231089951263487</v>
      </c>
      <c r="AI65" s="6">
        <f t="shared" si="5"/>
        <v>13.119418542412037</v>
      </c>
      <c r="AJ65">
        <v>4.5745251445466124</v>
      </c>
      <c r="AK65" s="3">
        <v>226.99020720993821</v>
      </c>
      <c r="AL65">
        <v>323.6091435260081</v>
      </c>
      <c r="AM65">
        <v>142.5652443352806</v>
      </c>
      <c r="AN65">
        <v>4.1197985118126992</v>
      </c>
      <c r="AO65">
        <v>69.734627166599111</v>
      </c>
      <c r="AP65">
        <v>23.89144493043656</v>
      </c>
      <c r="AQ65">
        <v>34.260518627795697</v>
      </c>
      <c r="AR65">
        <v>4.8742643916175759</v>
      </c>
      <c r="AS65">
        <v>92.226923765094199</v>
      </c>
      <c r="AT65">
        <v>58.689305659605537</v>
      </c>
      <c r="AU65">
        <v>63.635761948527787</v>
      </c>
      <c r="AV65">
        <v>7.0556527789053778</v>
      </c>
      <c r="AW65">
        <v>110.9357540672188</v>
      </c>
      <c r="AX65">
        <v>114.32009104566551</v>
      </c>
      <c r="AY65">
        <v>103.0507179645581</v>
      </c>
      <c r="AZ65">
        <v>7.3332580947733783</v>
      </c>
      <c r="BA65">
        <v>117.5511825899128</v>
      </c>
      <c r="BB65">
        <v>123.44544403154249</v>
      </c>
      <c r="BC65">
        <v>105.0142085445387</v>
      </c>
      <c r="BD65">
        <v>7.2127449885389181</v>
      </c>
      <c r="BE65">
        <v>114.7012808863429</v>
      </c>
      <c r="BF65">
        <v>145.4426673836704</v>
      </c>
      <c r="BG65">
        <v>126.8012582420845</v>
      </c>
      <c r="BH65">
        <v>0.78496036098593081</v>
      </c>
      <c r="BI65">
        <v>7.3737044673308397E-2</v>
      </c>
      <c r="BJ65">
        <v>0.75812885209088021</v>
      </c>
      <c r="BK65">
        <v>0.1423820390492615</v>
      </c>
      <c r="BL65">
        <v>0.7742535030873009</v>
      </c>
      <c r="BM65">
        <v>0.1373169644580198</v>
      </c>
      <c r="BN65">
        <v>0.77130775162792897</v>
      </c>
      <c r="BO65">
        <v>0.15025279513095541</v>
      </c>
      <c r="BP65">
        <v>0.76968710599460277</v>
      </c>
      <c r="BQ65">
        <v>0.15709546873099631</v>
      </c>
      <c r="BR65">
        <v>0.76870673722423788</v>
      </c>
      <c r="BS65">
        <v>0.15614221195475461</v>
      </c>
    </row>
    <row r="66" spans="1:71" x14ac:dyDescent="0.3">
      <c r="A66" t="s">
        <v>419</v>
      </c>
      <c r="B66" t="s">
        <v>76</v>
      </c>
      <c r="C66" t="s">
        <v>330</v>
      </c>
      <c r="D66" t="s">
        <v>195</v>
      </c>
      <c r="E66" s="2">
        <v>42983</v>
      </c>
      <c r="F66" s="2">
        <v>0.56874999999854481</v>
      </c>
      <c r="G66">
        <v>91</v>
      </c>
      <c r="H66" s="2">
        <v>43012</v>
      </c>
      <c r="I66" s="2">
        <v>0.34027777777737361</v>
      </c>
      <c r="J66" t="s">
        <v>358</v>
      </c>
      <c r="K66">
        <v>271</v>
      </c>
      <c r="L66" t="s">
        <v>425</v>
      </c>
      <c r="M66" t="s">
        <v>226</v>
      </c>
      <c r="N66" t="s">
        <v>426</v>
      </c>
      <c r="O66" t="s">
        <v>427</v>
      </c>
      <c r="P66" t="s">
        <v>428</v>
      </c>
      <c r="R66">
        <v>9.8884186225471318</v>
      </c>
      <c r="S66">
        <v>1.03886110042324</v>
      </c>
      <c r="T66" s="6">
        <f t="shared" si="0"/>
        <v>10.927279722970372</v>
      </c>
      <c r="U66" s="6">
        <v>9.7303443794671853</v>
      </c>
      <c r="V66" s="6">
        <v>1.0883690708252109</v>
      </c>
      <c r="W66" s="6">
        <f t="shared" si="1"/>
        <v>10.818713450292396</v>
      </c>
      <c r="X66" s="6">
        <v>11.26948775055679</v>
      </c>
      <c r="Y66" s="6">
        <v>1.131403118040089</v>
      </c>
      <c r="Z66" s="6">
        <f t="shared" si="2"/>
        <v>12.400890868596878</v>
      </c>
      <c r="AA66" s="6">
        <v>12.43398134621868</v>
      </c>
      <c r="AB66" s="6">
        <v>1.34846611978874</v>
      </c>
      <c r="AC66" s="6">
        <f t="shared" si="3"/>
        <v>13.782447466007419</v>
      </c>
      <c r="AD66" s="6">
        <v>11.76266079499363</v>
      </c>
      <c r="AE66" s="6">
        <v>1.2554564066906171</v>
      </c>
      <c r="AF66" s="6">
        <f t="shared" si="4"/>
        <v>13.018117201684248</v>
      </c>
      <c r="AG66" s="6">
        <v>11.88832859114855</v>
      </c>
      <c r="AH66" s="6">
        <v>1.231089951263487</v>
      </c>
      <c r="AI66" s="6">
        <f t="shared" si="5"/>
        <v>13.119418542412037</v>
      </c>
      <c r="AJ66">
        <v>4.5745251445466124</v>
      </c>
      <c r="AK66" s="3">
        <v>226.99020720993821</v>
      </c>
      <c r="AL66">
        <v>323.6091435260081</v>
      </c>
      <c r="AM66">
        <v>142.5652443352806</v>
      </c>
      <c r="AN66">
        <v>4.1197985118126992</v>
      </c>
      <c r="AO66">
        <v>69.734627166599111</v>
      </c>
      <c r="AP66">
        <v>23.89144493043656</v>
      </c>
      <c r="AQ66">
        <v>34.260518627795697</v>
      </c>
      <c r="AR66">
        <v>4.8742643916175759</v>
      </c>
      <c r="AS66">
        <v>92.226923765094199</v>
      </c>
      <c r="AT66">
        <v>58.689305659605537</v>
      </c>
      <c r="AU66">
        <v>63.635761948527787</v>
      </c>
      <c r="AV66">
        <v>7.0556527789053778</v>
      </c>
      <c r="AW66">
        <v>110.9357540672188</v>
      </c>
      <c r="AX66">
        <v>114.32009104566551</v>
      </c>
      <c r="AY66">
        <v>103.0507179645581</v>
      </c>
      <c r="AZ66">
        <v>7.3332580947733783</v>
      </c>
      <c r="BA66">
        <v>117.5511825899128</v>
      </c>
      <c r="BB66">
        <v>123.44544403154249</v>
      </c>
      <c r="BC66">
        <v>105.0142085445387</v>
      </c>
      <c r="BD66">
        <v>7.2127449885389181</v>
      </c>
      <c r="BE66">
        <v>114.7012808863429</v>
      </c>
      <c r="BF66">
        <v>145.4426673836704</v>
      </c>
      <c r="BG66">
        <v>126.8012582420845</v>
      </c>
      <c r="BH66">
        <v>0.78496036098593081</v>
      </c>
      <c r="BI66">
        <v>7.3737044673308397E-2</v>
      </c>
      <c r="BJ66">
        <v>0.75812885209088021</v>
      </c>
      <c r="BK66">
        <v>0.1423820390492615</v>
      </c>
      <c r="BL66">
        <v>0.7742535030873009</v>
      </c>
      <c r="BM66">
        <v>0.1373169644580198</v>
      </c>
      <c r="BN66">
        <v>0.77130775162792897</v>
      </c>
      <c r="BO66">
        <v>0.15025279513095541</v>
      </c>
      <c r="BP66">
        <v>0.76968710599460277</v>
      </c>
      <c r="BQ66">
        <v>0.15709546873099631</v>
      </c>
      <c r="BR66">
        <v>0.76870673722423788</v>
      </c>
      <c r="BS66">
        <v>0.15614221195475461</v>
      </c>
    </row>
    <row r="67" spans="1:71" x14ac:dyDescent="0.3">
      <c r="A67" t="s">
        <v>419</v>
      </c>
      <c r="B67" t="s">
        <v>83</v>
      </c>
      <c r="C67" t="s">
        <v>182</v>
      </c>
      <c r="D67" t="s">
        <v>95</v>
      </c>
      <c r="E67" s="2">
        <v>42983</v>
      </c>
      <c r="F67" s="2">
        <v>0.66666666666787933</v>
      </c>
      <c r="G67">
        <v>92</v>
      </c>
      <c r="H67" s="2">
        <v>43012</v>
      </c>
      <c r="I67" s="2">
        <v>0.32777777777664602</v>
      </c>
      <c r="J67" t="s">
        <v>225</v>
      </c>
      <c r="K67">
        <v>7035</v>
      </c>
      <c r="L67" t="s">
        <v>70</v>
      </c>
      <c r="M67" t="s">
        <v>131</v>
      </c>
      <c r="N67" t="s">
        <v>429</v>
      </c>
      <c r="O67" t="s">
        <v>430</v>
      </c>
      <c r="P67" t="s">
        <v>431</v>
      </c>
      <c r="R67">
        <v>9.8884186225471318</v>
      </c>
      <c r="S67">
        <v>1.03886110042324</v>
      </c>
      <c r="T67" s="6">
        <f t="shared" ref="T67:T130" si="6">SUM(R67+S67)</f>
        <v>10.927279722970372</v>
      </c>
      <c r="U67" s="6">
        <v>9.7303443794671853</v>
      </c>
      <c r="V67" s="6">
        <v>1.0883690708252109</v>
      </c>
      <c r="W67" s="6">
        <f t="shared" ref="W67:W130" si="7">SUM(U67+V67)</f>
        <v>10.818713450292396</v>
      </c>
      <c r="X67" s="6">
        <v>11.26948775055679</v>
      </c>
      <c r="Y67" s="6">
        <v>1.131403118040089</v>
      </c>
      <c r="Z67" s="6">
        <f t="shared" ref="Z67:Z130" si="8">SUM(X67+Y67)</f>
        <v>12.400890868596878</v>
      </c>
      <c r="AA67" s="6">
        <v>12.43398134621868</v>
      </c>
      <c r="AB67" s="6">
        <v>1.34846611978874</v>
      </c>
      <c r="AC67" s="6">
        <f t="shared" ref="AC67:AC130" si="9">SUM(AA67+AB67)</f>
        <v>13.782447466007419</v>
      </c>
      <c r="AD67" s="6">
        <v>11.76266079499363</v>
      </c>
      <c r="AE67" s="6">
        <v>1.2554564066906171</v>
      </c>
      <c r="AF67" s="6">
        <f t="shared" ref="AF67:AF130" si="10">SUM(AD67+AE67)</f>
        <v>13.018117201684248</v>
      </c>
      <c r="AG67" s="6">
        <v>11.88832859114855</v>
      </c>
      <c r="AH67" s="6">
        <v>1.231089951263487</v>
      </c>
      <c r="AI67" s="6">
        <f t="shared" ref="AI67:AI130" si="11">SUM(AG67+AH67)</f>
        <v>13.119418542412037</v>
      </c>
      <c r="AJ67">
        <v>4.5745251445466124</v>
      </c>
      <c r="AK67" s="3">
        <v>226.99020720993821</v>
      </c>
      <c r="AL67">
        <v>323.6091435260081</v>
      </c>
      <c r="AM67">
        <v>142.5652443352806</v>
      </c>
      <c r="AN67">
        <v>4.1197985118126992</v>
      </c>
      <c r="AO67">
        <v>69.734627166599111</v>
      </c>
      <c r="AP67">
        <v>23.89144493043656</v>
      </c>
      <c r="AQ67">
        <v>34.260518627795697</v>
      </c>
      <c r="AR67">
        <v>4.8742643916175759</v>
      </c>
      <c r="AS67">
        <v>92.226923765094199</v>
      </c>
      <c r="AT67">
        <v>58.689305659605537</v>
      </c>
      <c r="AU67">
        <v>63.635761948527787</v>
      </c>
      <c r="AV67">
        <v>7.0556527789053778</v>
      </c>
      <c r="AW67">
        <v>110.9357540672188</v>
      </c>
      <c r="AX67">
        <v>114.32009104566551</v>
      </c>
      <c r="AY67">
        <v>103.0507179645581</v>
      </c>
      <c r="AZ67">
        <v>7.3332580947733783</v>
      </c>
      <c r="BA67">
        <v>117.5511825899128</v>
      </c>
      <c r="BB67">
        <v>123.44544403154249</v>
      </c>
      <c r="BC67">
        <v>105.0142085445387</v>
      </c>
      <c r="BD67">
        <v>7.2127449885389181</v>
      </c>
      <c r="BE67">
        <v>114.7012808863429</v>
      </c>
      <c r="BF67">
        <v>145.4426673836704</v>
      </c>
      <c r="BG67">
        <v>126.8012582420845</v>
      </c>
      <c r="BH67">
        <v>0.78496036098593081</v>
      </c>
      <c r="BI67">
        <v>7.3737044673308397E-2</v>
      </c>
      <c r="BJ67">
        <v>0.75812885209088021</v>
      </c>
      <c r="BK67">
        <v>0.1423820390492615</v>
      </c>
      <c r="BL67">
        <v>0.7742535030873009</v>
      </c>
      <c r="BM67">
        <v>0.1373169644580198</v>
      </c>
      <c r="BN67">
        <v>0.77130775162792897</v>
      </c>
      <c r="BO67">
        <v>0.15025279513095541</v>
      </c>
      <c r="BP67">
        <v>0.76968710599460277</v>
      </c>
      <c r="BQ67">
        <v>0.15709546873099631</v>
      </c>
      <c r="BR67">
        <v>0.76870673722423788</v>
      </c>
      <c r="BS67">
        <v>0.15614221195475461</v>
      </c>
    </row>
    <row r="68" spans="1:71" x14ac:dyDescent="0.3">
      <c r="A68" t="s">
        <v>432</v>
      </c>
      <c r="B68" t="s">
        <v>66</v>
      </c>
      <c r="C68" t="s">
        <v>155</v>
      </c>
      <c r="D68" t="s">
        <v>415</v>
      </c>
      <c r="E68" s="2">
        <v>42978</v>
      </c>
      <c r="F68" s="2">
        <v>0.45555555555620231</v>
      </c>
      <c r="G68">
        <v>99</v>
      </c>
      <c r="H68" s="2">
        <v>43007</v>
      </c>
      <c r="I68" s="2">
        <v>0.32430555555401952</v>
      </c>
      <c r="J68" t="s">
        <v>206</v>
      </c>
      <c r="K68">
        <v>158</v>
      </c>
      <c r="L68" t="s">
        <v>220</v>
      </c>
      <c r="M68" t="s">
        <v>184</v>
      </c>
      <c r="N68" t="s">
        <v>433</v>
      </c>
      <c r="O68" t="s">
        <v>434</v>
      </c>
      <c r="P68" t="s">
        <v>435</v>
      </c>
      <c r="R68">
        <v>11.735282801077339</v>
      </c>
      <c r="S68">
        <v>0.69257406694882639</v>
      </c>
      <c r="T68" s="6">
        <f t="shared" si="6"/>
        <v>12.427856868026165</v>
      </c>
      <c r="U68" s="6">
        <v>22.039954523306811</v>
      </c>
      <c r="V68" s="6">
        <v>0.71463375020302089</v>
      </c>
      <c r="W68" s="6">
        <f t="shared" si="7"/>
        <v>22.754588273509832</v>
      </c>
      <c r="X68" s="6">
        <v>23.57709094148036</v>
      </c>
      <c r="Y68" s="6">
        <v>0.89070989578694193</v>
      </c>
      <c r="Z68" s="6">
        <f t="shared" si="8"/>
        <v>24.467800837267301</v>
      </c>
      <c r="AA68" s="6">
        <v>20.31451839370963</v>
      </c>
      <c r="AB68" s="6">
        <v>0.69081718618365628</v>
      </c>
      <c r="AC68" s="6">
        <f t="shared" si="9"/>
        <v>21.005335579893288</v>
      </c>
      <c r="AD68" s="6">
        <v>18.10458021163204</v>
      </c>
      <c r="AE68" s="6">
        <v>1.3053216961458249</v>
      </c>
      <c r="AF68" s="6">
        <f t="shared" si="10"/>
        <v>19.409901907777865</v>
      </c>
      <c r="AG68" s="6">
        <v>16.326645626690709</v>
      </c>
      <c r="AH68" s="6">
        <v>1.634355275022543</v>
      </c>
      <c r="AI68" s="6">
        <f t="shared" si="11"/>
        <v>17.961000901713252</v>
      </c>
      <c r="AJ68">
        <v>13.006792444441279</v>
      </c>
      <c r="AK68" s="3">
        <v>749.23012430352901</v>
      </c>
      <c r="AL68">
        <v>0</v>
      </c>
      <c r="AM68">
        <v>0</v>
      </c>
      <c r="AN68">
        <v>18.818909192054921</v>
      </c>
      <c r="AO68">
        <v>202.78894962713599</v>
      </c>
      <c r="AP68">
        <v>267.918348980681</v>
      </c>
      <c r="AQ68">
        <v>132.11683845362239</v>
      </c>
      <c r="AR68">
        <v>27.65453470966122</v>
      </c>
      <c r="AS68">
        <v>145.55021569803569</v>
      </c>
      <c r="AT68">
        <v>182.84010360117449</v>
      </c>
      <c r="AU68">
        <v>125.6199468508531</v>
      </c>
      <c r="AV68">
        <v>16.729410715431609</v>
      </c>
      <c r="AW68">
        <v>153.37009769666719</v>
      </c>
      <c r="AX68">
        <v>219.5301590351765</v>
      </c>
      <c r="AY68">
        <v>143.13752311050851</v>
      </c>
      <c r="AZ68">
        <v>18.391816842349041</v>
      </c>
      <c r="BA68">
        <v>131.92136364903311</v>
      </c>
      <c r="BB68">
        <v>110.19137180801749</v>
      </c>
      <c r="BC68">
        <v>83.528072148475829</v>
      </c>
      <c r="BD68">
        <v>19.740959335176619</v>
      </c>
      <c r="BE68">
        <v>132.66394124126589</v>
      </c>
      <c r="BF68">
        <v>114.48092200435249</v>
      </c>
      <c r="BG68">
        <v>86.293925035857825</v>
      </c>
      <c r="BH68">
        <v>0.80304819554639062</v>
      </c>
      <c r="BI68">
        <v>0.13104457158572</v>
      </c>
      <c r="BJ68">
        <v>0.79661381975781831</v>
      </c>
      <c r="BK68">
        <v>0.12290795414594349</v>
      </c>
      <c r="BL68">
        <v>0.79254454011523578</v>
      </c>
      <c r="BM68">
        <v>0.1156773260167807</v>
      </c>
      <c r="BN68">
        <v>0.79492026080539246</v>
      </c>
      <c r="BO68">
        <v>0.11271908332284911</v>
      </c>
      <c r="BP68">
        <v>0.79314512070350307</v>
      </c>
      <c r="BQ68">
        <v>0.1112189868427176</v>
      </c>
      <c r="BR68">
        <v>0.79043094329492025</v>
      </c>
      <c r="BS68">
        <v>0.1135783462670294</v>
      </c>
    </row>
    <row r="69" spans="1:71" x14ac:dyDescent="0.3">
      <c r="A69" t="s">
        <v>432</v>
      </c>
      <c r="B69" t="s">
        <v>76</v>
      </c>
      <c r="C69" t="s">
        <v>218</v>
      </c>
      <c r="D69" t="s">
        <v>241</v>
      </c>
      <c r="E69" s="2">
        <v>42978</v>
      </c>
      <c r="F69" s="2">
        <v>0.58194444444598048</v>
      </c>
      <c r="G69">
        <v>94</v>
      </c>
      <c r="H69" s="2">
        <v>43007</v>
      </c>
      <c r="I69" s="2">
        <v>0.33819444444452529</v>
      </c>
      <c r="J69" t="s">
        <v>137</v>
      </c>
      <c r="K69">
        <v>112</v>
      </c>
      <c r="L69" t="s">
        <v>220</v>
      </c>
      <c r="M69" t="s">
        <v>178</v>
      </c>
      <c r="N69" t="s">
        <v>436</v>
      </c>
      <c r="O69" t="s">
        <v>437</v>
      </c>
      <c r="P69" t="s">
        <v>438</v>
      </c>
      <c r="Q69" t="s">
        <v>439</v>
      </c>
      <c r="R69">
        <v>11.735282801077339</v>
      </c>
      <c r="S69">
        <v>0.69257406694882639</v>
      </c>
      <c r="T69" s="6">
        <f t="shared" si="6"/>
        <v>12.427856868026165</v>
      </c>
      <c r="U69" s="6">
        <v>22.039954523306811</v>
      </c>
      <c r="V69" s="6">
        <v>0.71463375020302089</v>
      </c>
      <c r="W69" s="6">
        <f t="shared" si="7"/>
        <v>22.754588273509832</v>
      </c>
      <c r="X69" s="6">
        <v>23.57709094148036</v>
      </c>
      <c r="Y69" s="6">
        <v>0.89070989578694193</v>
      </c>
      <c r="Z69" s="6">
        <f t="shared" si="8"/>
        <v>24.467800837267301</v>
      </c>
      <c r="AA69" s="6">
        <v>20.31451839370963</v>
      </c>
      <c r="AB69" s="6">
        <v>0.69081718618365628</v>
      </c>
      <c r="AC69" s="6">
        <f t="shared" si="9"/>
        <v>21.005335579893288</v>
      </c>
      <c r="AD69" s="6">
        <v>18.10458021163204</v>
      </c>
      <c r="AE69" s="6">
        <v>1.3053216961458249</v>
      </c>
      <c r="AF69" s="6">
        <f t="shared" si="10"/>
        <v>19.409901907777865</v>
      </c>
      <c r="AG69" s="6">
        <v>16.326645626690709</v>
      </c>
      <c r="AH69" s="6">
        <v>1.634355275022543</v>
      </c>
      <c r="AI69" s="6">
        <f t="shared" si="11"/>
        <v>17.961000901713252</v>
      </c>
      <c r="AJ69">
        <v>13.006792444441279</v>
      </c>
      <c r="AK69" s="3">
        <v>749.23012430352901</v>
      </c>
      <c r="AL69">
        <v>0</v>
      </c>
      <c r="AM69">
        <v>0</v>
      </c>
      <c r="AN69">
        <v>18.818909192054921</v>
      </c>
      <c r="AO69">
        <v>202.78894962713599</v>
      </c>
      <c r="AP69">
        <v>267.918348980681</v>
      </c>
      <c r="AQ69">
        <v>132.11683845362239</v>
      </c>
      <c r="AR69">
        <v>27.65453470966122</v>
      </c>
      <c r="AS69">
        <v>145.55021569803569</v>
      </c>
      <c r="AT69">
        <v>182.84010360117449</v>
      </c>
      <c r="AU69">
        <v>125.6199468508531</v>
      </c>
      <c r="AV69">
        <v>16.729410715431609</v>
      </c>
      <c r="AW69">
        <v>153.37009769666719</v>
      </c>
      <c r="AX69">
        <v>219.5301590351765</v>
      </c>
      <c r="AY69">
        <v>143.13752311050851</v>
      </c>
      <c r="AZ69">
        <v>18.391816842349041</v>
      </c>
      <c r="BA69">
        <v>131.92136364903311</v>
      </c>
      <c r="BB69">
        <v>110.19137180801749</v>
      </c>
      <c r="BC69">
        <v>83.528072148475829</v>
      </c>
      <c r="BD69">
        <v>19.740959335176619</v>
      </c>
      <c r="BE69">
        <v>132.66394124126589</v>
      </c>
      <c r="BF69">
        <v>114.48092200435249</v>
      </c>
      <c r="BG69">
        <v>86.293925035857825</v>
      </c>
      <c r="BH69">
        <v>0.80304819554639062</v>
      </c>
      <c r="BI69">
        <v>0.13104457158572</v>
      </c>
      <c r="BJ69">
        <v>0.79661381975781831</v>
      </c>
      <c r="BK69">
        <v>0.12290795414594349</v>
      </c>
      <c r="BL69">
        <v>0.79254454011523578</v>
      </c>
      <c r="BM69">
        <v>0.1156773260167807</v>
      </c>
      <c r="BN69">
        <v>0.79492026080539246</v>
      </c>
      <c r="BO69">
        <v>0.11271908332284911</v>
      </c>
      <c r="BP69">
        <v>0.79314512070350307</v>
      </c>
      <c r="BQ69">
        <v>0.1112189868427176</v>
      </c>
      <c r="BR69">
        <v>0.79043094329492025</v>
      </c>
      <c r="BS69">
        <v>0.1135783462670294</v>
      </c>
    </row>
    <row r="70" spans="1:71" x14ac:dyDescent="0.3">
      <c r="A70" t="s">
        <v>432</v>
      </c>
      <c r="B70" t="s">
        <v>83</v>
      </c>
      <c r="C70" t="s">
        <v>194</v>
      </c>
      <c r="D70" t="s">
        <v>108</v>
      </c>
      <c r="E70" s="2">
        <v>42978</v>
      </c>
      <c r="F70" s="2">
        <v>0.64722222222189885</v>
      </c>
      <c r="G70">
        <v>91</v>
      </c>
      <c r="H70" s="2">
        <v>43007</v>
      </c>
      <c r="I70" s="2">
        <v>0.34999999999854481</v>
      </c>
      <c r="J70" t="s">
        <v>396</v>
      </c>
      <c r="K70">
        <v>177</v>
      </c>
      <c r="L70" t="s">
        <v>177</v>
      </c>
      <c r="M70" t="s">
        <v>299</v>
      </c>
      <c r="N70" t="s">
        <v>440</v>
      </c>
      <c r="O70" t="s">
        <v>441</v>
      </c>
      <c r="P70" t="s">
        <v>442</v>
      </c>
      <c r="Q70" t="s">
        <v>439</v>
      </c>
      <c r="R70">
        <v>11.735282801077339</v>
      </c>
      <c r="S70">
        <v>0.69257406694882639</v>
      </c>
      <c r="T70" s="6">
        <f t="shared" si="6"/>
        <v>12.427856868026165</v>
      </c>
      <c r="U70" s="6">
        <v>22.039954523306811</v>
      </c>
      <c r="V70" s="6">
        <v>0.71463375020302089</v>
      </c>
      <c r="W70" s="6">
        <f t="shared" si="7"/>
        <v>22.754588273509832</v>
      </c>
      <c r="X70" s="6">
        <v>23.57709094148036</v>
      </c>
      <c r="Y70" s="6">
        <v>0.89070989578694193</v>
      </c>
      <c r="Z70" s="6">
        <f t="shared" si="8"/>
        <v>24.467800837267301</v>
      </c>
      <c r="AA70" s="6">
        <v>20.31451839370963</v>
      </c>
      <c r="AB70" s="6">
        <v>0.69081718618365628</v>
      </c>
      <c r="AC70" s="6">
        <f t="shared" si="9"/>
        <v>21.005335579893288</v>
      </c>
      <c r="AD70" s="6">
        <v>18.10458021163204</v>
      </c>
      <c r="AE70" s="6">
        <v>1.3053216961458249</v>
      </c>
      <c r="AF70" s="6">
        <f t="shared" si="10"/>
        <v>19.409901907777865</v>
      </c>
      <c r="AG70" s="6">
        <v>16.326645626690709</v>
      </c>
      <c r="AH70" s="6">
        <v>1.634355275022543</v>
      </c>
      <c r="AI70" s="6">
        <f t="shared" si="11"/>
        <v>17.961000901713252</v>
      </c>
      <c r="AJ70">
        <v>13.006792444441279</v>
      </c>
      <c r="AK70" s="3">
        <v>749.23012430352901</v>
      </c>
      <c r="AL70">
        <v>0</v>
      </c>
      <c r="AM70">
        <v>0</v>
      </c>
      <c r="AN70">
        <v>18.818909192054921</v>
      </c>
      <c r="AO70">
        <v>202.78894962713599</v>
      </c>
      <c r="AP70">
        <v>267.918348980681</v>
      </c>
      <c r="AQ70">
        <v>132.11683845362239</v>
      </c>
      <c r="AR70">
        <v>27.65453470966122</v>
      </c>
      <c r="AS70">
        <v>145.55021569803569</v>
      </c>
      <c r="AT70">
        <v>182.84010360117449</v>
      </c>
      <c r="AU70">
        <v>125.6199468508531</v>
      </c>
      <c r="AV70">
        <v>16.729410715431609</v>
      </c>
      <c r="AW70">
        <v>153.37009769666719</v>
      </c>
      <c r="AX70">
        <v>219.5301590351765</v>
      </c>
      <c r="AY70">
        <v>143.13752311050851</v>
      </c>
      <c r="AZ70">
        <v>18.391816842349041</v>
      </c>
      <c r="BA70">
        <v>131.92136364903311</v>
      </c>
      <c r="BB70">
        <v>110.19137180801749</v>
      </c>
      <c r="BC70">
        <v>83.528072148475829</v>
      </c>
      <c r="BD70">
        <v>19.740959335176619</v>
      </c>
      <c r="BE70">
        <v>132.66394124126589</v>
      </c>
      <c r="BF70">
        <v>114.48092200435249</v>
      </c>
      <c r="BG70">
        <v>86.293925035857825</v>
      </c>
      <c r="BH70">
        <v>0.80304819554639062</v>
      </c>
      <c r="BI70">
        <v>0.13104457158572</v>
      </c>
      <c r="BJ70">
        <v>0.79661381975781831</v>
      </c>
      <c r="BK70">
        <v>0.12290795414594349</v>
      </c>
      <c r="BL70">
        <v>0.79254454011523578</v>
      </c>
      <c r="BM70">
        <v>0.1156773260167807</v>
      </c>
      <c r="BN70">
        <v>0.79492026080539246</v>
      </c>
      <c r="BO70">
        <v>0.11271908332284911</v>
      </c>
      <c r="BP70">
        <v>0.79314512070350307</v>
      </c>
      <c r="BQ70">
        <v>0.1112189868427176</v>
      </c>
      <c r="BR70">
        <v>0.79043094329492025</v>
      </c>
      <c r="BS70">
        <v>0.1135783462670294</v>
      </c>
    </row>
    <row r="71" spans="1:71" x14ac:dyDescent="0.3">
      <c r="A71" t="s">
        <v>443</v>
      </c>
      <c r="B71" t="s">
        <v>66</v>
      </c>
      <c r="C71" t="s">
        <v>309</v>
      </c>
      <c r="D71" t="s">
        <v>95</v>
      </c>
      <c r="E71" s="2">
        <v>42921</v>
      </c>
      <c r="F71" s="2">
        <v>0.38819444444379769</v>
      </c>
      <c r="G71">
        <v>95</v>
      </c>
      <c r="H71" s="2">
        <v>42949</v>
      </c>
      <c r="I71" s="2">
        <v>0.30486111111167702</v>
      </c>
      <c r="J71" t="s">
        <v>69</v>
      </c>
      <c r="K71">
        <v>99</v>
      </c>
      <c r="L71" t="s">
        <v>177</v>
      </c>
      <c r="M71" t="s">
        <v>184</v>
      </c>
      <c r="N71" t="s">
        <v>444</v>
      </c>
      <c r="O71" t="s">
        <v>445</v>
      </c>
      <c r="P71" t="s">
        <v>446</v>
      </c>
      <c r="R71">
        <v>17.763157894736839</v>
      </c>
      <c r="S71">
        <v>0</v>
      </c>
      <c r="T71" s="6">
        <f t="shared" si="6"/>
        <v>17.763157894736839</v>
      </c>
      <c r="U71" s="6">
        <v>22.77002919234512</v>
      </c>
      <c r="V71" s="6">
        <v>0.53519299383717167</v>
      </c>
      <c r="W71" s="6">
        <f t="shared" si="7"/>
        <v>23.305222186182291</v>
      </c>
      <c r="X71" s="6">
        <v>26.706522709021151</v>
      </c>
      <c r="Y71" s="6">
        <v>0.62460961898813239</v>
      </c>
      <c r="Z71" s="6">
        <f t="shared" si="8"/>
        <v>27.331132328009282</v>
      </c>
      <c r="AA71" s="6">
        <v>26.040848389630799</v>
      </c>
      <c r="AB71" s="6">
        <v>0.42082818987767928</v>
      </c>
      <c r="AC71" s="6">
        <f t="shared" si="9"/>
        <v>26.461676579508477</v>
      </c>
      <c r="AD71" s="6">
        <v>22.022107134575251</v>
      </c>
      <c r="AE71" s="6">
        <v>0.37489371569915753</v>
      </c>
      <c r="AF71" s="6">
        <f t="shared" si="10"/>
        <v>22.397000850274409</v>
      </c>
      <c r="AG71" s="6">
        <v>18.655329691987159</v>
      </c>
      <c r="AH71" s="6">
        <v>0.27310096289205471</v>
      </c>
      <c r="AI71" s="6">
        <f t="shared" si="11"/>
        <v>18.928430654879215</v>
      </c>
      <c r="AJ71">
        <v>18.483336631574371</v>
      </c>
      <c r="AK71" s="3">
        <v>545.88316854277389</v>
      </c>
      <c r="AL71">
        <v>0</v>
      </c>
      <c r="AM71">
        <v>0</v>
      </c>
      <c r="AN71">
        <v>38.577421553470728</v>
      </c>
      <c r="AO71">
        <v>237.2334267645104</v>
      </c>
      <c r="AP71">
        <v>124.2853404133471</v>
      </c>
      <c r="AQ71">
        <v>52.389472305148168</v>
      </c>
      <c r="AR71">
        <v>35.217860833646213</v>
      </c>
      <c r="AS71">
        <v>415.39794116715171</v>
      </c>
      <c r="AT71">
        <v>376.52980588051742</v>
      </c>
      <c r="AU71">
        <v>90.643156492921989</v>
      </c>
      <c r="AV71">
        <v>27.118098002250491</v>
      </c>
      <c r="AW71">
        <v>205.21815881446889</v>
      </c>
      <c r="AX71">
        <v>157.99142061589089</v>
      </c>
      <c r="AY71">
        <v>76.987056861145405</v>
      </c>
      <c r="AZ71">
        <v>21.214287142000909</v>
      </c>
      <c r="BA71">
        <v>233.60629932108691</v>
      </c>
      <c r="BB71">
        <v>234.28933926236769</v>
      </c>
      <c r="BC71">
        <v>100.2923893504866</v>
      </c>
      <c r="BD71">
        <v>14.62733582572619</v>
      </c>
      <c r="BE71">
        <v>210.77221776497211</v>
      </c>
      <c r="BF71">
        <v>167.69694912542249</v>
      </c>
      <c r="BG71">
        <v>79.56311837664397</v>
      </c>
      <c r="BH71">
        <v>0.76838230567232402</v>
      </c>
      <c r="BI71">
        <v>8.9796080029254696E-2</v>
      </c>
      <c r="BJ71">
        <v>0.74123658153278604</v>
      </c>
      <c r="BK71">
        <v>8.7381282181384398E-2</v>
      </c>
      <c r="BL71">
        <v>0.74809342189643568</v>
      </c>
      <c r="BM71">
        <v>9.4901569085550003E-2</v>
      </c>
      <c r="BN71">
        <v>0.75546369920809531</v>
      </c>
      <c r="BO71">
        <v>9.3457725886661E-2</v>
      </c>
      <c r="BP71">
        <v>0.75629835902550724</v>
      </c>
      <c r="BQ71">
        <v>9.4526362103387995E-2</v>
      </c>
      <c r="BR71">
        <v>0.75751391177030025</v>
      </c>
      <c r="BS71">
        <v>9.5763552938076493E-2</v>
      </c>
    </row>
    <row r="72" spans="1:71" x14ac:dyDescent="0.3">
      <c r="A72" t="s">
        <v>443</v>
      </c>
      <c r="B72" t="s">
        <v>76</v>
      </c>
      <c r="C72" t="s">
        <v>175</v>
      </c>
      <c r="D72" t="s">
        <v>447</v>
      </c>
      <c r="E72" s="2">
        <v>42921</v>
      </c>
      <c r="F72" s="2">
        <v>0.47083333333284833</v>
      </c>
      <c r="G72">
        <v>95</v>
      </c>
      <c r="H72" s="2">
        <v>42949</v>
      </c>
      <c r="I72" s="2">
        <v>0.31736111111240461</v>
      </c>
      <c r="J72" t="s">
        <v>225</v>
      </c>
      <c r="K72">
        <v>116</v>
      </c>
      <c r="L72" t="s">
        <v>177</v>
      </c>
      <c r="M72" t="s">
        <v>71</v>
      </c>
      <c r="N72" t="s">
        <v>448</v>
      </c>
      <c r="O72" t="s">
        <v>449</v>
      </c>
      <c r="P72" t="s">
        <v>251</v>
      </c>
      <c r="R72">
        <v>17.763157894736839</v>
      </c>
      <c r="S72">
        <v>0</v>
      </c>
      <c r="T72" s="6">
        <f t="shared" si="6"/>
        <v>17.763157894736839</v>
      </c>
      <c r="U72" s="6">
        <v>22.77002919234512</v>
      </c>
      <c r="V72" s="6">
        <v>0.53519299383717167</v>
      </c>
      <c r="W72" s="6">
        <f t="shared" si="7"/>
        <v>23.305222186182291</v>
      </c>
      <c r="X72" s="6">
        <v>26.706522709021151</v>
      </c>
      <c r="Y72" s="6">
        <v>0.62460961898813239</v>
      </c>
      <c r="Z72" s="6">
        <f t="shared" si="8"/>
        <v>27.331132328009282</v>
      </c>
      <c r="AA72" s="6">
        <v>26.040848389630799</v>
      </c>
      <c r="AB72" s="6">
        <v>0.42082818987767928</v>
      </c>
      <c r="AC72" s="6">
        <f t="shared" si="9"/>
        <v>26.461676579508477</v>
      </c>
      <c r="AD72" s="6">
        <v>22.022107134575251</v>
      </c>
      <c r="AE72" s="6">
        <v>0.37489371569915753</v>
      </c>
      <c r="AF72" s="6">
        <f t="shared" si="10"/>
        <v>22.397000850274409</v>
      </c>
      <c r="AG72" s="6">
        <v>18.655329691987159</v>
      </c>
      <c r="AH72" s="6">
        <v>0.27310096289205471</v>
      </c>
      <c r="AI72" s="6">
        <f t="shared" si="11"/>
        <v>18.928430654879215</v>
      </c>
      <c r="AJ72">
        <v>18.483336631574371</v>
      </c>
      <c r="AK72" s="3">
        <v>545.88316854277389</v>
      </c>
      <c r="AL72">
        <v>0</v>
      </c>
      <c r="AM72">
        <v>0</v>
      </c>
      <c r="AN72">
        <v>38.577421553470728</v>
      </c>
      <c r="AO72">
        <v>237.2334267645104</v>
      </c>
      <c r="AP72">
        <v>124.2853404133471</v>
      </c>
      <c r="AQ72">
        <v>52.389472305148168</v>
      </c>
      <c r="AR72">
        <v>35.217860833646213</v>
      </c>
      <c r="AS72">
        <v>415.39794116715171</v>
      </c>
      <c r="AT72">
        <v>376.52980588051742</v>
      </c>
      <c r="AU72">
        <v>90.643156492921989</v>
      </c>
      <c r="AV72">
        <v>27.118098002250491</v>
      </c>
      <c r="AW72">
        <v>205.21815881446889</v>
      </c>
      <c r="AX72">
        <v>157.99142061589089</v>
      </c>
      <c r="AY72">
        <v>76.987056861145405</v>
      </c>
      <c r="AZ72">
        <v>21.214287142000909</v>
      </c>
      <c r="BA72">
        <v>233.60629932108691</v>
      </c>
      <c r="BB72">
        <v>234.28933926236769</v>
      </c>
      <c r="BC72">
        <v>100.2923893504866</v>
      </c>
      <c r="BD72">
        <v>14.62733582572619</v>
      </c>
      <c r="BE72">
        <v>210.77221776497211</v>
      </c>
      <c r="BF72">
        <v>167.69694912542249</v>
      </c>
      <c r="BG72">
        <v>79.56311837664397</v>
      </c>
      <c r="BH72">
        <v>0.76838230567232402</v>
      </c>
      <c r="BI72">
        <v>8.9796080029254696E-2</v>
      </c>
      <c r="BJ72">
        <v>0.74123658153278604</v>
      </c>
      <c r="BK72">
        <v>8.7381282181384398E-2</v>
      </c>
      <c r="BL72">
        <v>0.74809342189643568</v>
      </c>
      <c r="BM72">
        <v>9.4901569085550003E-2</v>
      </c>
      <c r="BN72">
        <v>0.75546369920809531</v>
      </c>
      <c r="BO72">
        <v>9.3457725886661E-2</v>
      </c>
      <c r="BP72">
        <v>0.75629835902550724</v>
      </c>
      <c r="BQ72">
        <v>9.4526362103387995E-2</v>
      </c>
      <c r="BR72">
        <v>0.75751391177030025</v>
      </c>
      <c r="BS72">
        <v>9.5763552938076493E-2</v>
      </c>
    </row>
    <row r="73" spans="1:71" x14ac:dyDescent="0.3">
      <c r="A73" t="s">
        <v>443</v>
      </c>
      <c r="B73" t="s">
        <v>83</v>
      </c>
      <c r="C73" t="s">
        <v>376</v>
      </c>
      <c r="D73" t="s">
        <v>420</v>
      </c>
      <c r="E73" s="2">
        <v>42921</v>
      </c>
      <c r="F73" s="2">
        <v>0.5319444444430701</v>
      </c>
      <c r="G73">
        <v>94</v>
      </c>
      <c r="H73" s="2">
        <v>42949</v>
      </c>
      <c r="I73" s="2">
        <v>0.32916666666642408</v>
      </c>
      <c r="J73" t="s">
        <v>69</v>
      </c>
      <c r="K73">
        <v>90</v>
      </c>
      <c r="L73" t="s">
        <v>177</v>
      </c>
      <c r="M73" t="s">
        <v>188</v>
      </c>
      <c r="N73" t="s">
        <v>450</v>
      </c>
      <c r="O73" t="s">
        <v>451</v>
      </c>
      <c r="P73" t="s">
        <v>251</v>
      </c>
      <c r="R73">
        <v>17.763157894736839</v>
      </c>
      <c r="S73">
        <v>0</v>
      </c>
      <c r="T73" s="6">
        <f t="shared" si="6"/>
        <v>17.763157894736839</v>
      </c>
      <c r="U73" s="6">
        <v>22.77002919234512</v>
      </c>
      <c r="V73" s="6">
        <v>0.53519299383717167</v>
      </c>
      <c r="W73" s="6">
        <f t="shared" si="7"/>
        <v>23.305222186182291</v>
      </c>
      <c r="X73" s="6">
        <v>26.706522709021151</v>
      </c>
      <c r="Y73" s="6">
        <v>0.62460961898813239</v>
      </c>
      <c r="Z73" s="6">
        <f t="shared" si="8"/>
        <v>27.331132328009282</v>
      </c>
      <c r="AA73" s="6">
        <v>26.040848389630799</v>
      </c>
      <c r="AB73" s="6">
        <v>0.42082818987767928</v>
      </c>
      <c r="AC73" s="6">
        <f t="shared" si="9"/>
        <v>26.461676579508477</v>
      </c>
      <c r="AD73" s="6">
        <v>22.022107134575251</v>
      </c>
      <c r="AE73" s="6">
        <v>0.37489371569915753</v>
      </c>
      <c r="AF73" s="6">
        <f t="shared" si="10"/>
        <v>22.397000850274409</v>
      </c>
      <c r="AG73" s="6">
        <v>18.655329691987159</v>
      </c>
      <c r="AH73" s="6">
        <v>0.27310096289205471</v>
      </c>
      <c r="AI73" s="6">
        <f t="shared" si="11"/>
        <v>18.928430654879215</v>
      </c>
      <c r="AJ73">
        <v>18.483336631574371</v>
      </c>
      <c r="AK73" s="3">
        <v>545.88316854277389</v>
      </c>
      <c r="AL73">
        <v>0</v>
      </c>
      <c r="AM73">
        <v>0</v>
      </c>
      <c r="AN73">
        <v>38.577421553470728</v>
      </c>
      <c r="AO73">
        <v>237.2334267645104</v>
      </c>
      <c r="AP73">
        <v>124.2853404133471</v>
      </c>
      <c r="AQ73">
        <v>52.389472305148168</v>
      </c>
      <c r="AR73">
        <v>35.217860833646213</v>
      </c>
      <c r="AS73">
        <v>415.39794116715171</v>
      </c>
      <c r="AT73">
        <v>376.52980588051742</v>
      </c>
      <c r="AU73">
        <v>90.643156492921989</v>
      </c>
      <c r="AV73">
        <v>27.118098002250491</v>
      </c>
      <c r="AW73">
        <v>205.21815881446889</v>
      </c>
      <c r="AX73">
        <v>157.99142061589089</v>
      </c>
      <c r="AY73">
        <v>76.987056861145405</v>
      </c>
      <c r="AZ73">
        <v>21.214287142000909</v>
      </c>
      <c r="BA73">
        <v>233.60629932108691</v>
      </c>
      <c r="BB73">
        <v>234.28933926236769</v>
      </c>
      <c r="BC73">
        <v>100.2923893504866</v>
      </c>
      <c r="BD73">
        <v>14.62733582572619</v>
      </c>
      <c r="BE73">
        <v>210.77221776497211</v>
      </c>
      <c r="BF73">
        <v>167.69694912542249</v>
      </c>
      <c r="BG73">
        <v>79.56311837664397</v>
      </c>
      <c r="BH73">
        <v>0.76838230567232402</v>
      </c>
      <c r="BI73">
        <v>8.9796080029254696E-2</v>
      </c>
      <c r="BJ73">
        <v>0.74123658153278604</v>
      </c>
      <c r="BK73">
        <v>8.7381282181384398E-2</v>
      </c>
      <c r="BL73">
        <v>0.74809342189643568</v>
      </c>
      <c r="BM73">
        <v>9.4901569085550003E-2</v>
      </c>
      <c r="BN73">
        <v>0.75546369920809531</v>
      </c>
      <c r="BO73">
        <v>9.3457725886661E-2</v>
      </c>
      <c r="BP73">
        <v>0.75629835902550724</v>
      </c>
      <c r="BQ73">
        <v>9.4526362103387995E-2</v>
      </c>
      <c r="BR73">
        <v>0.75751391177030025</v>
      </c>
      <c r="BS73">
        <v>9.5763552938076493E-2</v>
      </c>
    </row>
    <row r="74" spans="1:71" x14ac:dyDescent="0.3">
      <c r="A74" t="s">
        <v>452</v>
      </c>
      <c r="B74" t="s">
        <v>66</v>
      </c>
      <c r="C74" t="s">
        <v>182</v>
      </c>
      <c r="D74" t="s">
        <v>453</v>
      </c>
      <c r="E74" s="2">
        <v>43012</v>
      </c>
      <c r="F74" s="2">
        <v>0.54791666666642413</v>
      </c>
      <c r="G74">
        <v>90</v>
      </c>
      <c r="H74" s="2">
        <v>43046</v>
      </c>
      <c r="I74" s="2">
        <v>0.33819444444452529</v>
      </c>
      <c r="J74" t="s">
        <v>454</v>
      </c>
      <c r="K74">
        <v>83</v>
      </c>
      <c r="L74" t="s">
        <v>70</v>
      </c>
      <c r="M74" t="s">
        <v>123</v>
      </c>
      <c r="N74" t="s">
        <v>455</v>
      </c>
      <c r="O74" t="s">
        <v>456</v>
      </c>
      <c r="P74" t="s">
        <v>457</v>
      </c>
      <c r="R74">
        <v>16.983326870880191</v>
      </c>
      <c r="S74">
        <v>0</v>
      </c>
      <c r="T74" s="6">
        <f t="shared" si="6"/>
        <v>16.983326870880191</v>
      </c>
      <c r="U74" s="6">
        <v>16.466580142764439</v>
      </c>
      <c r="V74" s="6">
        <v>0</v>
      </c>
      <c r="W74" s="6">
        <f t="shared" si="7"/>
        <v>16.466580142764439</v>
      </c>
      <c r="X74" s="6">
        <v>16.25189545981625</v>
      </c>
      <c r="Y74" s="6">
        <v>0</v>
      </c>
      <c r="Z74" s="6">
        <f t="shared" si="8"/>
        <v>16.25189545981625</v>
      </c>
      <c r="AA74" s="6">
        <v>17.881798282539151</v>
      </c>
      <c r="AB74" s="6">
        <v>1.6837851490149859E-2</v>
      </c>
      <c r="AC74" s="6">
        <f t="shared" si="9"/>
        <v>17.898636134029299</v>
      </c>
      <c r="AD74" s="6">
        <v>18.999768106979982</v>
      </c>
      <c r="AE74" s="6">
        <v>0.51402952771121591</v>
      </c>
      <c r="AF74" s="6">
        <f t="shared" si="10"/>
        <v>19.513797634691198</v>
      </c>
      <c r="AG74" s="6">
        <v>19.89132270961203</v>
      </c>
      <c r="AH74" s="6">
        <v>0.54620192578410942</v>
      </c>
      <c r="AI74" s="6">
        <f t="shared" si="11"/>
        <v>20.437524635396141</v>
      </c>
      <c r="AJ74">
        <v>8.8188468895747025</v>
      </c>
      <c r="AK74" s="3">
        <v>74.297486579531764</v>
      </c>
      <c r="AL74">
        <v>12.51678895162387</v>
      </c>
      <c r="AM74">
        <v>16.846853814126369</v>
      </c>
      <c r="AN74">
        <v>6.2881135180299967</v>
      </c>
      <c r="AO74">
        <v>153.19022869780019</v>
      </c>
      <c r="AP74">
        <v>111.48872053542129</v>
      </c>
      <c r="AQ74">
        <v>72.777958152511246</v>
      </c>
      <c r="AR74">
        <v>6.6663014470388191</v>
      </c>
      <c r="AS74">
        <v>139.98858791036091</v>
      </c>
      <c r="AT74">
        <v>102.6374463368355</v>
      </c>
      <c r="AU74">
        <v>73.318438216233389</v>
      </c>
      <c r="AV74">
        <v>7.3358079279740824</v>
      </c>
      <c r="AW74">
        <v>95.736729220212425</v>
      </c>
      <c r="AX74">
        <v>71.477367639737366</v>
      </c>
      <c r="AY74">
        <v>74.660340103458125</v>
      </c>
      <c r="AZ74">
        <v>8.6517745935020169</v>
      </c>
      <c r="BA74">
        <v>129.826452822519</v>
      </c>
      <c r="BB74">
        <v>125.48504555982881</v>
      </c>
      <c r="BC74">
        <v>96.65599177339827</v>
      </c>
      <c r="BD74">
        <v>8.8554548052622497</v>
      </c>
      <c r="BE74">
        <v>134.16564345501459</v>
      </c>
      <c r="BF74">
        <v>130.85083818267401</v>
      </c>
      <c r="BG74">
        <v>97.52931884275425</v>
      </c>
      <c r="BH74">
        <v>0.81112403027358082</v>
      </c>
      <c r="BI74">
        <v>6.5700026724603705E-2</v>
      </c>
      <c r="BJ74">
        <v>0.81657014803759109</v>
      </c>
      <c r="BK74">
        <v>6.8333365048989694E-2</v>
      </c>
      <c r="BL74">
        <v>0.82159661706450293</v>
      </c>
      <c r="BM74">
        <v>7.3431158926001397E-2</v>
      </c>
      <c r="BN74">
        <v>0.82038326793103578</v>
      </c>
      <c r="BO74">
        <v>7.5165912157811002E-2</v>
      </c>
      <c r="BP74">
        <v>0.81031562165734572</v>
      </c>
      <c r="BQ74">
        <v>9.1919095306936205E-2</v>
      </c>
      <c r="BR74">
        <v>0.8046201160438704</v>
      </c>
      <c r="BS74">
        <v>0.1004466686355876</v>
      </c>
    </row>
    <row r="75" spans="1:71" x14ac:dyDescent="0.3">
      <c r="A75" t="s">
        <v>452</v>
      </c>
      <c r="B75" t="s">
        <v>76</v>
      </c>
      <c r="C75" t="s">
        <v>330</v>
      </c>
      <c r="D75" t="s">
        <v>310</v>
      </c>
      <c r="E75" s="2">
        <v>43012</v>
      </c>
      <c r="F75" s="2">
        <v>0.60347222222117125</v>
      </c>
      <c r="G75">
        <v>93</v>
      </c>
      <c r="H75" s="2">
        <v>43046</v>
      </c>
      <c r="I75" s="2">
        <v>0.35347222222117131</v>
      </c>
      <c r="J75" t="s">
        <v>358</v>
      </c>
      <c r="K75">
        <v>361</v>
      </c>
      <c r="L75" t="s">
        <v>70</v>
      </c>
      <c r="M75" t="s">
        <v>116</v>
      </c>
      <c r="N75" t="s">
        <v>458</v>
      </c>
      <c r="O75" t="s">
        <v>459</v>
      </c>
      <c r="P75" t="s">
        <v>460</v>
      </c>
      <c r="R75">
        <v>16.983326870880191</v>
      </c>
      <c r="S75">
        <v>0</v>
      </c>
      <c r="T75" s="6">
        <f t="shared" si="6"/>
        <v>16.983326870880191</v>
      </c>
      <c r="U75" s="6">
        <v>16.466580142764439</v>
      </c>
      <c r="V75" s="6">
        <v>0</v>
      </c>
      <c r="W75" s="6">
        <f t="shared" si="7"/>
        <v>16.466580142764439</v>
      </c>
      <c r="X75" s="6">
        <v>16.25189545981625</v>
      </c>
      <c r="Y75" s="6">
        <v>0</v>
      </c>
      <c r="Z75" s="6">
        <f t="shared" si="8"/>
        <v>16.25189545981625</v>
      </c>
      <c r="AA75" s="6">
        <v>17.881798282539151</v>
      </c>
      <c r="AB75" s="6">
        <v>1.6837851490149859E-2</v>
      </c>
      <c r="AC75" s="6">
        <f t="shared" si="9"/>
        <v>17.898636134029299</v>
      </c>
      <c r="AD75" s="6">
        <v>18.999768106979982</v>
      </c>
      <c r="AE75" s="6">
        <v>0.51402952771121591</v>
      </c>
      <c r="AF75" s="6">
        <f t="shared" si="10"/>
        <v>19.513797634691198</v>
      </c>
      <c r="AG75" s="6">
        <v>19.89132270961203</v>
      </c>
      <c r="AH75" s="6">
        <v>0.54620192578410942</v>
      </c>
      <c r="AI75" s="6">
        <f t="shared" si="11"/>
        <v>20.437524635396141</v>
      </c>
      <c r="AJ75">
        <v>8.8188468895747025</v>
      </c>
      <c r="AK75" s="3">
        <v>74.297486579531764</v>
      </c>
      <c r="AL75">
        <v>12.51678895162387</v>
      </c>
      <c r="AM75">
        <v>16.846853814126369</v>
      </c>
      <c r="AN75">
        <v>6.2881135180299967</v>
      </c>
      <c r="AO75">
        <v>153.19022869780019</v>
      </c>
      <c r="AP75">
        <v>111.48872053542129</v>
      </c>
      <c r="AQ75">
        <v>72.777958152511246</v>
      </c>
      <c r="AR75">
        <v>6.6663014470388191</v>
      </c>
      <c r="AS75">
        <v>139.98858791036091</v>
      </c>
      <c r="AT75">
        <v>102.6374463368355</v>
      </c>
      <c r="AU75">
        <v>73.318438216233389</v>
      </c>
      <c r="AV75">
        <v>7.3358079279740824</v>
      </c>
      <c r="AW75">
        <v>95.736729220212425</v>
      </c>
      <c r="AX75">
        <v>71.477367639737366</v>
      </c>
      <c r="AY75">
        <v>74.660340103458125</v>
      </c>
      <c r="AZ75">
        <v>8.6517745935020169</v>
      </c>
      <c r="BA75">
        <v>129.826452822519</v>
      </c>
      <c r="BB75">
        <v>125.48504555982881</v>
      </c>
      <c r="BC75">
        <v>96.65599177339827</v>
      </c>
      <c r="BD75">
        <v>8.8554548052622497</v>
      </c>
      <c r="BE75">
        <v>134.16564345501459</v>
      </c>
      <c r="BF75">
        <v>130.85083818267401</v>
      </c>
      <c r="BG75">
        <v>97.52931884275425</v>
      </c>
      <c r="BH75">
        <v>0.81112403027358082</v>
      </c>
      <c r="BI75">
        <v>6.5700026724603705E-2</v>
      </c>
      <c r="BJ75">
        <v>0.81657014803759109</v>
      </c>
      <c r="BK75">
        <v>6.8333365048989694E-2</v>
      </c>
      <c r="BL75">
        <v>0.82159661706450293</v>
      </c>
      <c r="BM75">
        <v>7.3431158926001397E-2</v>
      </c>
      <c r="BN75">
        <v>0.82038326793103578</v>
      </c>
      <c r="BO75">
        <v>7.5165912157811002E-2</v>
      </c>
      <c r="BP75">
        <v>0.81031562165734572</v>
      </c>
      <c r="BQ75">
        <v>9.1919095306936205E-2</v>
      </c>
      <c r="BR75">
        <v>0.8046201160438704</v>
      </c>
      <c r="BS75">
        <v>0.1004466686355876</v>
      </c>
    </row>
    <row r="76" spans="1:71" x14ac:dyDescent="0.3">
      <c r="A76" t="s">
        <v>452</v>
      </c>
      <c r="B76" t="s">
        <v>83</v>
      </c>
      <c r="C76" t="s">
        <v>363</v>
      </c>
      <c r="D76" t="s">
        <v>315</v>
      </c>
      <c r="E76" s="2">
        <v>43012</v>
      </c>
      <c r="F76" s="2">
        <v>0.6437499999992724</v>
      </c>
      <c r="G76">
        <v>93</v>
      </c>
      <c r="H76" s="2">
        <v>43046</v>
      </c>
      <c r="I76" s="2">
        <v>0.36527777777882869</v>
      </c>
      <c r="J76" t="s">
        <v>144</v>
      </c>
      <c r="K76">
        <v>404</v>
      </c>
      <c r="L76" t="s">
        <v>157</v>
      </c>
      <c r="M76" t="s">
        <v>188</v>
      </c>
      <c r="N76" t="s">
        <v>461</v>
      </c>
      <c r="O76" t="s">
        <v>462</v>
      </c>
      <c r="P76" t="s">
        <v>463</v>
      </c>
      <c r="R76">
        <v>16.983326870880191</v>
      </c>
      <c r="S76">
        <v>0</v>
      </c>
      <c r="T76" s="6">
        <f t="shared" si="6"/>
        <v>16.983326870880191</v>
      </c>
      <c r="U76" s="6">
        <v>16.466580142764439</v>
      </c>
      <c r="V76" s="6">
        <v>0</v>
      </c>
      <c r="W76" s="6">
        <f t="shared" si="7"/>
        <v>16.466580142764439</v>
      </c>
      <c r="X76" s="6">
        <v>16.25189545981625</v>
      </c>
      <c r="Y76" s="6">
        <v>0</v>
      </c>
      <c r="Z76" s="6">
        <f t="shared" si="8"/>
        <v>16.25189545981625</v>
      </c>
      <c r="AA76" s="6">
        <v>17.881798282539151</v>
      </c>
      <c r="AB76" s="6">
        <v>1.6837851490149859E-2</v>
      </c>
      <c r="AC76" s="6">
        <f t="shared" si="9"/>
        <v>17.898636134029299</v>
      </c>
      <c r="AD76" s="6">
        <v>18.999768106979982</v>
      </c>
      <c r="AE76" s="6">
        <v>0.51402952771121591</v>
      </c>
      <c r="AF76" s="6">
        <f t="shared" si="10"/>
        <v>19.513797634691198</v>
      </c>
      <c r="AG76" s="6">
        <v>19.89132270961203</v>
      </c>
      <c r="AH76" s="6">
        <v>0.54620192578410942</v>
      </c>
      <c r="AI76" s="6">
        <f t="shared" si="11"/>
        <v>20.437524635396141</v>
      </c>
      <c r="AJ76">
        <v>8.8188468895747025</v>
      </c>
      <c r="AK76" s="3">
        <v>74.297486579531764</v>
      </c>
      <c r="AL76">
        <v>12.51678895162387</v>
      </c>
      <c r="AM76">
        <v>16.846853814126369</v>
      </c>
      <c r="AN76">
        <v>6.2881135180299967</v>
      </c>
      <c r="AO76">
        <v>153.19022869780019</v>
      </c>
      <c r="AP76">
        <v>111.48872053542129</v>
      </c>
      <c r="AQ76">
        <v>72.777958152511246</v>
      </c>
      <c r="AR76">
        <v>6.6663014470388191</v>
      </c>
      <c r="AS76">
        <v>139.98858791036091</v>
      </c>
      <c r="AT76">
        <v>102.6374463368355</v>
      </c>
      <c r="AU76">
        <v>73.318438216233389</v>
      </c>
      <c r="AV76">
        <v>7.3358079279740824</v>
      </c>
      <c r="AW76">
        <v>95.736729220212425</v>
      </c>
      <c r="AX76">
        <v>71.477367639737366</v>
      </c>
      <c r="AY76">
        <v>74.660340103458125</v>
      </c>
      <c r="AZ76">
        <v>8.6517745935020169</v>
      </c>
      <c r="BA76">
        <v>129.826452822519</v>
      </c>
      <c r="BB76">
        <v>125.48504555982881</v>
      </c>
      <c r="BC76">
        <v>96.65599177339827</v>
      </c>
      <c r="BD76">
        <v>8.8554548052622497</v>
      </c>
      <c r="BE76">
        <v>134.16564345501459</v>
      </c>
      <c r="BF76">
        <v>130.85083818267401</v>
      </c>
      <c r="BG76">
        <v>97.52931884275425</v>
      </c>
      <c r="BH76">
        <v>0.81112403027358082</v>
      </c>
      <c r="BI76">
        <v>6.5700026724603705E-2</v>
      </c>
      <c r="BJ76">
        <v>0.81657014803759109</v>
      </c>
      <c r="BK76">
        <v>6.8333365048989694E-2</v>
      </c>
      <c r="BL76">
        <v>0.82159661706450293</v>
      </c>
      <c r="BM76">
        <v>7.3431158926001397E-2</v>
      </c>
      <c r="BN76">
        <v>0.82038326793103578</v>
      </c>
      <c r="BO76">
        <v>7.5165912157811002E-2</v>
      </c>
      <c r="BP76">
        <v>0.81031562165734572</v>
      </c>
      <c r="BQ76">
        <v>9.1919095306936205E-2</v>
      </c>
      <c r="BR76">
        <v>0.8046201160438704</v>
      </c>
      <c r="BS76">
        <v>0.1004466686355876</v>
      </c>
    </row>
    <row r="77" spans="1:71" x14ac:dyDescent="0.3">
      <c r="A77" t="s">
        <v>464</v>
      </c>
      <c r="B77" t="s">
        <v>66</v>
      </c>
      <c r="C77" t="s">
        <v>84</v>
      </c>
      <c r="D77" t="s">
        <v>465</v>
      </c>
      <c r="E77" s="2">
        <v>43192</v>
      </c>
      <c r="F77" s="2">
        <v>0.44097222222262639</v>
      </c>
      <c r="G77">
        <v>99</v>
      </c>
      <c r="H77" s="2">
        <v>43227</v>
      </c>
      <c r="I77" s="2">
        <v>0.72569444444525288</v>
      </c>
      <c r="J77" t="s">
        <v>144</v>
      </c>
      <c r="K77">
        <v>114</v>
      </c>
      <c r="L77" t="s">
        <v>157</v>
      </c>
      <c r="M77" t="s">
        <v>98</v>
      </c>
      <c r="N77" t="s">
        <v>466</v>
      </c>
      <c r="O77" t="s">
        <v>467</v>
      </c>
      <c r="P77" t="s">
        <v>468</v>
      </c>
      <c r="Q77" t="s">
        <v>199</v>
      </c>
      <c r="R77">
        <v>13.97599690282617</v>
      </c>
      <c r="S77">
        <v>0</v>
      </c>
      <c r="T77" s="6">
        <f t="shared" si="6"/>
        <v>13.97599690282617</v>
      </c>
      <c r="U77" s="6">
        <v>21.381099043605118</v>
      </c>
      <c r="V77" s="6">
        <v>0</v>
      </c>
      <c r="W77" s="6">
        <f t="shared" si="7"/>
        <v>21.381099043605118</v>
      </c>
      <c r="X77" s="6">
        <v>21.65104863900044</v>
      </c>
      <c r="Y77" s="6">
        <v>0</v>
      </c>
      <c r="Z77" s="6">
        <f t="shared" si="8"/>
        <v>21.65104863900044</v>
      </c>
      <c r="AA77" s="6">
        <v>23.668705459850731</v>
      </c>
      <c r="AB77" s="6">
        <v>0</v>
      </c>
      <c r="AC77" s="6">
        <f t="shared" si="9"/>
        <v>23.668705459850731</v>
      </c>
      <c r="AD77" s="6">
        <v>21.362863327149039</v>
      </c>
      <c r="AE77" s="6">
        <v>0</v>
      </c>
      <c r="AF77" s="6">
        <f t="shared" si="10"/>
        <v>21.362863327149039</v>
      </c>
      <c r="AG77" s="6">
        <v>20.584011488750601</v>
      </c>
      <c r="AH77" s="6">
        <v>0</v>
      </c>
      <c r="AI77" s="6">
        <f t="shared" si="11"/>
        <v>20.584011488750601</v>
      </c>
      <c r="AJ77">
        <v>4.8322448709999257</v>
      </c>
      <c r="AK77" s="3">
        <v>306.84416235085979</v>
      </c>
      <c r="AL77">
        <v>202.49328036921429</v>
      </c>
      <c r="AM77">
        <v>65.992221855494876</v>
      </c>
      <c r="AN77">
        <v>6.6342695208081723</v>
      </c>
      <c r="AO77">
        <v>125.17011853333899</v>
      </c>
      <c r="AP77">
        <v>64.606297574931361</v>
      </c>
      <c r="AQ77">
        <v>51.614792996879288</v>
      </c>
      <c r="AR77">
        <v>5.7465814005129534</v>
      </c>
      <c r="AS77">
        <v>113.95322392748859</v>
      </c>
      <c r="AT77">
        <v>70.179238618619593</v>
      </c>
      <c r="AU77">
        <v>61.586005379958749</v>
      </c>
      <c r="AV77">
        <v>6.9327921312498813</v>
      </c>
      <c r="AW77">
        <v>107.64035136285391</v>
      </c>
      <c r="AX77">
        <v>68.427629349254943</v>
      </c>
      <c r="AY77">
        <v>63.57061128366859</v>
      </c>
      <c r="AZ77">
        <v>6.2694407046980114</v>
      </c>
      <c r="BA77">
        <v>112.793151723601</v>
      </c>
      <c r="BB77">
        <v>85.503502238353633</v>
      </c>
      <c r="BC77">
        <v>75.805579444999921</v>
      </c>
      <c r="BD77">
        <v>5.5517630931428119</v>
      </c>
      <c r="BE77">
        <v>119.890984076348</v>
      </c>
      <c r="BF77">
        <v>86.041298948820469</v>
      </c>
      <c r="BG77">
        <v>71.766279684574428</v>
      </c>
      <c r="BH77">
        <v>0.84542158321719618</v>
      </c>
      <c r="BI77">
        <v>7.6940355836163501E-2</v>
      </c>
      <c r="BJ77">
        <v>0.84283069196246263</v>
      </c>
      <c r="BK77">
        <v>7.1099642864407606E-2</v>
      </c>
      <c r="BL77">
        <v>0.84428707947227821</v>
      </c>
      <c r="BM77">
        <v>6.8009263088666796E-2</v>
      </c>
      <c r="BN77">
        <v>0.8469213271956908</v>
      </c>
      <c r="BO77">
        <v>6.8016018141147896E-2</v>
      </c>
      <c r="BP77">
        <v>0.84644682937756432</v>
      </c>
      <c r="BQ77">
        <v>6.7511937041724507E-2</v>
      </c>
      <c r="BR77">
        <v>0.84669763847794677</v>
      </c>
      <c r="BS77">
        <v>6.8969298487648698E-2</v>
      </c>
    </row>
    <row r="78" spans="1:71" x14ac:dyDescent="0.3">
      <c r="A78" t="s">
        <v>464</v>
      </c>
      <c r="B78" t="s">
        <v>76</v>
      </c>
      <c r="C78" t="s">
        <v>376</v>
      </c>
      <c r="D78" t="s">
        <v>321</v>
      </c>
      <c r="E78" s="2">
        <v>43192</v>
      </c>
      <c r="F78" s="2">
        <v>0.47430555555547471</v>
      </c>
      <c r="G78">
        <v>99</v>
      </c>
      <c r="H78" s="2">
        <v>43227</v>
      </c>
      <c r="I78" s="2">
        <v>0.71388888888759539</v>
      </c>
      <c r="J78" t="s">
        <v>396</v>
      </c>
      <c r="K78">
        <v>129</v>
      </c>
      <c r="L78" t="s">
        <v>157</v>
      </c>
      <c r="M78" t="s">
        <v>98</v>
      </c>
      <c r="N78" t="s">
        <v>469</v>
      </c>
      <c r="O78" t="s">
        <v>470</v>
      </c>
      <c r="P78" t="s">
        <v>471</v>
      </c>
      <c r="R78">
        <v>13.97599690282617</v>
      </c>
      <c r="S78">
        <v>0</v>
      </c>
      <c r="T78" s="6">
        <f t="shared" si="6"/>
        <v>13.97599690282617</v>
      </c>
      <c r="U78" s="6">
        <v>21.381099043605118</v>
      </c>
      <c r="V78" s="6">
        <v>0</v>
      </c>
      <c r="W78" s="6">
        <f t="shared" si="7"/>
        <v>21.381099043605118</v>
      </c>
      <c r="X78" s="6">
        <v>21.65104863900044</v>
      </c>
      <c r="Y78" s="6">
        <v>0</v>
      </c>
      <c r="Z78" s="6">
        <f t="shared" si="8"/>
        <v>21.65104863900044</v>
      </c>
      <c r="AA78" s="6">
        <v>23.668705459850731</v>
      </c>
      <c r="AB78" s="6">
        <v>0</v>
      </c>
      <c r="AC78" s="6">
        <f t="shared" si="9"/>
        <v>23.668705459850731</v>
      </c>
      <c r="AD78" s="6">
        <v>21.362863327149039</v>
      </c>
      <c r="AE78" s="6">
        <v>0</v>
      </c>
      <c r="AF78" s="6">
        <f t="shared" si="10"/>
        <v>21.362863327149039</v>
      </c>
      <c r="AG78" s="6">
        <v>20.584011488750601</v>
      </c>
      <c r="AH78" s="6">
        <v>0</v>
      </c>
      <c r="AI78" s="6">
        <f t="shared" si="11"/>
        <v>20.584011488750601</v>
      </c>
      <c r="AJ78">
        <v>4.8322448709999257</v>
      </c>
      <c r="AK78" s="3">
        <v>306.84416235085979</v>
      </c>
      <c r="AL78">
        <v>202.49328036921429</v>
      </c>
      <c r="AM78">
        <v>65.992221855494876</v>
      </c>
      <c r="AN78">
        <v>6.6342695208081723</v>
      </c>
      <c r="AO78">
        <v>125.17011853333899</v>
      </c>
      <c r="AP78">
        <v>64.606297574931361</v>
      </c>
      <c r="AQ78">
        <v>51.614792996879288</v>
      </c>
      <c r="AR78">
        <v>5.7465814005129534</v>
      </c>
      <c r="AS78">
        <v>113.95322392748859</v>
      </c>
      <c r="AT78">
        <v>70.179238618619593</v>
      </c>
      <c r="AU78">
        <v>61.586005379958749</v>
      </c>
      <c r="AV78">
        <v>6.9327921312498813</v>
      </c>
      <c r="AW78">
        <v>107.64035136285391</v>
      </c>
      <c r="AX78">
        <v>68.427629349254943</v>
      </c>
      <c r="AY78">
        <v>63.57061128366859</v>
      </c>
      <c r="AZ78">
        <v>6.2694407046980114</v>
      </c>
      <c r="BA78">
        <v>112.793151723601</v>
      </c>
      <c r="BB78">
        <v>85.503502238353633</v>
      </c>
      <c r="BC78">
        <v>75.805579444999921</v>
      </c>
      <c r="BD78">
        <v>5.5517630931428119</v>
      </c>
      <c r="BE78">
        <v>119.890984076348</v>
      </c>
      <c r="BF78">
        <v>86.041298948820469</v>
      </c>
      <c r="BG78">
        <v>71.766279684574428</v>
      </c>
      <c r="BH78">
        <v>0.84542158321719618</v>
      </c>
      <c r="BI78">
        <v>7.6940355836163501E-2</v>
      </c>
      <c r="BJ78">
        <v>0.84283069196246263</v>
      </c>
      <c r="BK78">
        <v>7.1099642864407606E-2</v>
      </c>
      <c r="BL78">
        <v>0.84428707947227821</v>
      </c>
      <c r="BM78">
        <v>6.8009263088666796E-2</v>
      </c>
      <c r="BN78">
        <v>0.8469213271956908</v>
      </c>
      <c r="BO78">
        <v>6.8016018141147896E-2</v>
      </c>
      <c r="BP78">
        <v>0.84644682937756432</v>
      </c>
      <c r="BQ78">
        <v>6.7511937041724507E-2</v>
      </c>
      <c r="BR78">
        <v>0.84669763847794677</v>
      </c>
      <c r="BS78">
        <v>6.8969298487648698E-2</v>
      </c>
    </row>
    <row r="79" spans="1:71" x14ac:dyDescent="0.3">
      <c r="A79" t="s">
        <v>464</v>
      </c>
      <c r="B79" t="s">
        <v>83</v>
      </c>
      <c r="C79" t="s">
        <v>363</v>
      </c>
      <c r="D79" t="s">
        <v>335</v>
      </c>
      <c r="E79" s="2">
        <v>43192</v>
      </c>
      <c r="F79" s="2">
        <v>0.57430555555401952</v>
      </c>
      <c r="G79">
        <v>99</v>
      </c>
      <c r="H79" s="2">
        <v>43227</v>
      </c>
      <c r="I79" s="2">
        <v>0.67708333333212067</v>
      </c>
      <c r="J79" t="s">
        <v>206</v>
      </c>
      <c r="K79">
        <v>309</v>
      </c>
      <c r="L79" t="s">
        <v>157</v>
      </c>
      <c r="M79" t="s">
        <v>98</v>
      </c>
      <c r="N79" t="s">
        <v>472</v>
      </c>
      <c r="O79" t="s">
        <v>473</v>
      </c>
      <c r="P79" t="s">
        <v>474</v>
      </c>
      <c r="R79">
        <v>13.97599690282617</v>
      </c>
      <c r="S79">
        <v>0</v>
      </c>
      <c r="T79" s="6">
        <f t="shared" si="6"/>
        <v>13.97599690282617</v>
      </c>
      <c r="U79" s="6">
        <v>21.381099043605118</v>
      </c>
      <c r="V79" s="6">
        <v>0</v>
      </c>
      <c r="W79" s="6">
        <f t="shared" si="7"/>
        <v>21.381099043605118</v>
      </c>
      <c r="X79" s="6">
        <v>21.65104863900044</v>
      </c>
      <c r="Y79" s="6">
        <v>0</v>
      </c>
      <c r="Z79" s="6">
        <f t="shared" si="8"/>
        <v>21.65104863900044</v>
      </c>
      <c r="AA79" s="6">
        <v>23.668705459850731</v>
      </c>
      <c r="AB79" s="6">
        <v>0</v>
      </c>
      <c r="AC79" s="6">
        <f t="shared" si="9"/>
        <v>23.668705459850731</v>
      </c>
      <c r="AD79" s="6">
        <v>21.362863327149039</v>
      </c>
      <c r="AE79" s="6">
        <v>0</v>
      </c>
      <c r="AF79" s="6">
        <f t="shared" si="10"/>
        <v>21.362863327149039</v>
      </c>
      <c r="AG79" s="6">
        <v>20.584011488750601</v>
      </c>
      <c r="AH79" s="6">
        <v>0</v>
      </c>
      <c r="AI79" s="6">
        <f t="shared" si="11"/>
        <v>20.584011488750601</v>
      </c>
      <c r="AJ79">
        <v>4.8322448709999257</v>
      </c>
      <c r="AK79" s="3">
        <v>306.84416235085979</v>
      </c>
      <c r="AL79">
        <v>202.49328036921429</v>
      </c>
      <c r="AM79">
        <v>65.992221855494876</v>
      </c>
      <c r="AN79">
        <v>6.6342695208081723</v>
      </c>
      <c r="AO79">
        <v>125.17011853333899</v>
      </c>
      <c r="AP79">
        <v>64.606297574931361</v>
      </c>
      <c r="AQ79">
        <v>51.614792996879288</v>
      </c>
      <c r="AR79">
        <v>5.7465814005129534</v>
      </c>
      <c r="AS79">
        <v>113.95322392748859</v>
      </c>
      <c r="AT79">
        <v>70.179238618619593</v>
      </c>
      <c r="AU79">
        <v>61.586005379958749</v>
      </c>
      <c r="AV79">
        <v>6.9327921312498813</v>
      </c>
      <c r="AW79">
        <v>107.64035136285391</v>
      </c>
      <c r="AX79">
        <v>68.427629349254943</v>
      </c>
      <c r="AY79">
        <v>63.57061128366859</v>
      </c>
      <c r="AZ79">
        <v>6.2694407046980114</v>
      </c>
      <c r="BA79">
        <v>112.793151723601</v>
      </c>
      <c r="BB79">
        <v>85.503502238353633</v>
      </c>
      <c r="BC79">
        <v>75.805579444999921</v>
      </c>
      <c r="BD79">
        <v>5.5517630931428119</v>
      </c>
      <c r="BE79">
        <v>119.890984076348</v>
      </c>
      <c r="BF79">
        <v>86.041298948820469</v>
      </c>
      <c r="BG79">
        <v>71.766279684574428</v>
      </c>
      <c r="BH79">
        <v>0.84542158321719618</v>
      </c>
      <c r="BI79">
        <v>7.6940355836163501E-2</v>
      </c>
      <c r="BJ79">
        <v>0.84283069196246263</v>
      </c>
      <c r="BK79">
        <v>7.1099642864407606E-2</v>
      </c>
      <c r="BL79">
        <v>0.84428707947227821</v>
      </c>
      <c r="BM79">
        <v>6.8009263088666796E-2</v>
      </c>
      <c r="BN79">
        <v>0.8469213271956908</v>
      </c>
      <c r="BO79">
        <v>6.8016018141147896E-2</v>
      </c>
      <c r="BP79">
        <v>0.84644682937756432</v>
      </c>
      <c r="BQ79">
        <v>6.7511937041724507E-2</v>
      </c>
      <c r="BR79">
        <v>0.84669763847794677</v>
      </c>
      <c r="BS79">
        <v>6.8969298487648698E-2</v>
      </c>
    </row>
    <row r="80" spans="1:71" x14ac:dyDescent="0.3">
      <c r="A80" t="s">
        <v>475</v>
      </c>
      <c r="B80" t="s">
        <v>66</v>
      </c>
      <c r="C80" t="s">
        <v>218</v>
      </c>
      <c r="D80" t="s">
        <v>114</v>
      </c>
      <c r="E80" s="2">
        <v>43196</v>
      </c>
      <c r="F80" s="2">
        <v>0.42291666666642408</v>
      </c>
      <c r="G80">
        <v>99</v>
      </c>
      <c r="H80" s="2">
        <v>43223</v>
      </c>
      <c r="I80" s="2">
        <v>0.70069444444379769</v>
      </c>
      <c r="J80" t="s">
        <v>206</v>
      </c>
      <c r="K80">
        <v>120</v>
      </c>
      <c r="L80" t="s">
        <v>157</v>
      </c>
      <c r="M80" t="s">
        <v>188</v>
      </c>
      <c r="N80" t="s">
        <v>476</v>
      </c>
      <c r="O80" t="s">
        <v>477</v>
      </c>
      <c r="P80" t="s">
        <v>478</v>
      </c>
      <c r="R80">
        <v>32.550077041602457</v>
      </c>
      <c r="S80">
        <v>0.1540832049306626</v>
      </c>
      <c r="T80" s="6">
        <f t="shared" si="6"/>
        <v>32.704160246533121</v>
      </c>
      <c r="U80" s="6">
        <v>34.020785969470609</v>
      </c>
      <c r="V80" s="6">
        <v>0.43845404352062362</v>
      </c>
      <c r="W80" s="6">
        <f t="shared" si="7"/>
        <v>34.459240012991231</v>
      </c>
      <c r="X80" s="6">
        <v>35.838973993587473</v>
      </c>
      <c r="Y80" s="6">
        <v>0.40078375489846818</v>
      </c>
      <c r="Z80" s="6">
        <f t="shared" si="8"/>
        <v>36.239757748485943</v>
      </c>
      <c r="AA80" s="6">
        <v>34.224568892883219</v>
      </c>
      <c r="AB80" s="6">
        <v>0.2752345110374656</v>
      </c>
      <c r="AC80" s="6">
        <f t="shared" si="9"/>
        <v>34.499803403920687</v>
      </c>
      <c r="AD80" s="6">
        <v>32.770739996910237</v>
      </c>
      <c r="AE80" s="6">
        <v>0.36304650084968332</v>
      </c>
      <c r="AF80" s="6">
        <f t="shared" si="10"/>
        <v>33.133786497759921</v>
      </c>
      <c r="AG80" s="6">
        <v>32.761389569774323</v>
      </c>
      <c r="AH80" s="6">
        <v>0.27329332544445378</v>
      </c>
      <c r="AI80" s="6">
        <f t="shared" si="11"/>
        <v>33.034682895218779</v>
      </c>
      <c r="AJ80">
        <v>13.675252984925891</v>
      </c>
      <c r="AK80" s="3">
        <v>143.9609327496899</v>
      </c>
      <c r="AL80">
        <v>124.7831349860943</v>
      </c>
      <c r="AM80">
        <v>86.678470750852412</v>
      </c>
      <c r="AN80">
        <v>24.39133125361526</v>
      </c>
      <c r="AO80">
        <v>98.870191082515589</v>
      </c>
      <c r="AP80">
        <v>41.831932443595313</v>
      </c>
      <c r="AQ80">
        <v>42.309954077749282</v>
      </c>
      <c r="AR80">
        <v>36.385014158303733</v>
      </c>
      <c r="AS80">
        <v>103.1371561735298</v>
      </c>
      <c r="AT80">
        <v>34.943805181206351</v>
      </c>
      <c r="AU80">
        <v>33.88090817863241</v>
      </c>
      <c r="AV80">
        <v>41.194887525272676</v>
      </c>
      <c r="AW80">
        <v>103.607519955752</v>
      </c>
      <c r="AX80">
        <v>29.71093259615802</v>
      </c>
      <c r="AY80">
        <v>28.67642484719908</v>
      </c>
      <c r="AZ80">
        <v>27.62755467579127</v>
      </c>
      <c r="BA80">
        <v>115.1835114330574</v>
      </c>
      <c r="BB80">
        <v>62.970649343430651</v>
      </c>
      <c r="BC80">
        <v>54.669846890392883</v>
      </c>
      <c r="BD80">
        <v>31.463283271172401</v>
      </c>
      <c r="BE80">
        <v>118.7132847958371</v>
      </c>
      <c r="BF80">
        <v>69.32328904715699</v>
      </c>
      <c r="BG80">
        <v>58.395561344611977</v>
      </c>
      <c r="BH80">
        <v>0.74129240919919526</v>
      </c>
      <c r="BI80">
        <v>0.13443414534622389</v>
      </c>
      <c r="BJ80">
        <v>0.75251576134941933</v>
      </c>
      <c r="BK80">
        <v>0.12260407795785749</v>
      </c>
      <c r="BL80">
        <v>0.75647981459765923</v>
      </c>
      <c r="BM80">
        <v>0.1168149640711366</v>
      </c>
      <c r="BN80">
        <v>0.76295727428020155</v>
      </c>
      <c r="BO80">
        <v>0.10915922162156901</v>
      </c>
      <c r="BP80">
        <v>0.76360258364076272</v>
      </c>
      <c r="BQ80">
        <v>0.1075621574936977</v>
      </c>
      <c r="BR80">
        <v>0.76801574172290976</v>
      </c>
      <c r="BS80">
        <v>0.1100155637577339</v>
      </c>
    </row>
    <row r="81" spans="1:71" x14ac:dyDescent="0.3">
      <c r="A81" t="s">
        <v>475</v>
      </c>
      <c r="B81" t="s">
        <v>76</v>
      </c>
      <c r="C81" t="s">
        <v>266</v>
      </c>
      <c r="D81" t="s">
        <v>271</v>
      </c>
      <c r="E81" s="2">
        <v>43196</v>
      </c>
      <c r="F81" s="2">
        <v>0.48819444444598048</v>
      </c>
      <c r="G81">
        <v>99</v>
      </c>
      <c r="H81" s="2">
        <v>43223</v>
      </c>
      <c r="I81" s="2">
        <v>0.6749999999992724</v>
      </c>
      <c r="J81" t="s">
        <v>206</v>
      </c>
      <c r="K81">
        <v>195</v>
      </c>
      <c r="L81" t="s">
        <v>177</v>
      </c>
      <c r="M81" t="s">
        <v>184</v>
      </c>
      <c r="N81" t="s">
        <v>479</v>
      </c>
      <c r="O81" t="s">
        <v>480</v>
      </c>
      <c r="P81" t="s">
        <v>481</v>
      </c>
      <c r="R81">
        <v>32.550077041602457</v>
      </c>
      <c r="S81">
        <v>0.1540832049306626</v>
      </c>
      <c r="T81" s="6">
        <f t="shared" si="6"/>
        <v>32.704160246533121</v>
      </c>
      <c r="U81" s="6">
        <v>34.020785969470609</v>
      </c>
      <c r="V81" s="6">
        <v>0.43845404352062362</v>
      </c>
      <c r="W81" s="6">
        <f t="shared" si="7"/>
        <v>34.459240012991231</v>
      </c>
      <c r="X81" s="6">
        <v>35.838973993587473</v>
      </c>
      <c r="Y81" s="6">
        <v>0.40078375489846818</v>
      </c>
      <c r="Z81" s="6">
        <f t="shared" si="8"/>
        <v>36.239757748485943</v>
      </c>
      <c r="AA81" s="6">
        <v>34.224568892883219</v>
      </c>
      <c r="AB81" s="6">
        <v>0.2752345110374656</v>
      </c>
      <c r="AC81" s="6">
        <f t="shared" si="9"/>
        <v>34.499803403920687</v>
      </c>
      <c r="AD81" s="6">
        <v>32.770739996910237</v>
      </c>
      <c r="AE81" s="6">
        <v>0.36304650084968332</v>
      </c>
      <c r="AF81" s="6">
        <f t="shared" si="10"/>
        <v>33.133786497759921</v>
      </c>
      <c r="AG81" s="6">
        <v>32.761389569774323</v>
      </c>
      <c r="AH81" s="6">
        <v>0.27329332544445378</v>
      </c>
      <c r="AI81" s="6">
        <f t="shared" si="11"/>
        <v>33.034682895218779</v>
      </c>
      <c r="AJ81">
        <v>13.675252984925891</v>
      </c>
      <c r="AK81" s="3">
        <v>143.9609327496899</v>
      </c>
      <c r="AL81">
        <v>124.7831349860943</v>
      </c>
      <c r="AM81">
        <v>86.678470750852412</v>
      </c>
      <c r="AN81">
        <v>24.39133125361526</v>
      </c>
      <c r="AO81">
        <v>98.870191082515589</v>
      </c>
      <c r="AP81">
        <v>41.831932443595313</v>
      </c>
      <c r="AQ81">
        <v>42.309954077749282</v>
      </c>
      <c r="AR81">
        <v>36.385014158303733</v>
      </c>
      <c r="AS81">
        <v>103.1371561735298</v>
      </c>
      <c r="AT81">
        <v>34.943805181206351</v>
      </c>
      <c r="AU81">
        <v>33.88090817863241</v>
      </c>
      <c r="AV81">
        <v>41.194887525272676</v>
      </c>
      <c r="AW81">
        <v>103.607519955752</v>
      </c>
      <c r="AX81">
        <v>29.71093259615802</v>
      </c>
      <c r="AY81">
        <v>28.67642484719908</v>
      </c>
      <c r="AZ81">
        <v>27.62755467579127</v>
      </c>
      <c r="BA81">
        <v>115.1835114330574</v>
      </c>
      <c r="BB81">
        <v>62.970649343430651</v>
      </c>
      <c r="BC81">
        <v>54.669846890392883</v>
      </c>
      <c r="BD81">
        <v>31.463283271172401</v>
      </c>
      <c r="BE81">
        <v>118.7132847958371</v>
      </c>
      <c r="BF81">
        <v>69.32328904715699</v>
      </c>
      <c r="BG81">
        <v>58.395561344611977</v>
      </c>
      <c r="BH81">
        <v>0.74129240919919526</v>
      </c>
      <c r="BI81">
        <v>0.13443414534622389</v>
      </c>
      <c r="BJ81">
        <v>0.75251576134941933</v>
      </c>
      <c r="BK81">
        <v>0.12260407795785749</v>
      </c>
      <c r="BL81">
        <v>0.75647981459765923</v>
      </c>
      <c r="BM81">
        <v>0.1168149640711366</v>
      </c>
      <c r="BN81">
        <v>0.76295727428020155</v>
      </c>
      <c r="BO81">
        <v>0.10915922162156901</v>
      </c>
      <c r="BP81">
        <v>0.76360258364076272</v>
      </c>
      <c r="BQ81">
        <v>0.1075621574936977</v>
      </c>
      <c r="BR81">
        <v>0.76801574172290976</v>
      </c>
      <c r="BS81">
        <v>0.1100155637577339</v>
      </c>
    </row>
    <row r="82" spans="1:71" x14ac:dyDescent="0.3">
      <c r="A82" t="s">
        <v>475</v>
      </c>
      <c r="B82" t="s">
        <v>83</v>
      </c>
      <c r="C82" t="s">
        <v>303</v>
      </c>
      <c r="D82" t="s">
        <v>267</v>
      </c>
      <c r="E82" s="2">
        <v>43196</v>
      </c>
      <c r="F82" s="2">
        <v>0.5618055555569299</v>
      </c>
      <c r="G82">
        <v>99</v>
      </c>
      <c r="H82" s="2">
        <v>43223</v>
      </c>
      <c r="I82" s="2">
        <v>0.65347222222044365</v>
      </c>
      <c r="J82" t="s">
        <v>86</v>
      </c>
      <c r="K82">
        <v>179</v>
      </c>
      <c r="L82" t="s">
        <v>425</v>
      </c>
      <c r="M82" t="s">
        <v>184</v>
      </c>
      <c r="N82" t="s">
        <v>482</v>
      </c>
      <c r="O82" t="s">
        <v>483</v>
      </c>
      <c r="Q82" t="s">
        <v>406</v>
      </c>
      <c r="R82">
        <v>32.550077041602457</v>
      </c>
      <c r="S82">
        <v>0.1540832049306626</v>
      </c>
      <c r="T82" s="6">
        <f t="shared" si="6"/>
        <v>32.704160246533121</v>
      </c>
      <c r="U82" s="6">
        <v>34.020785969470609</v>
      </c>
      <c r="V82" s="6">
        <v>0.43845404352062362</v>
      </c>
      <c r="W82" s="6">
        <f t="shared" si="7"/>
        <v>34.459240012991231</v>
      </c>
      <c r="X82" s="6">
        <v>35.838973993587473</v>
      </c>
      <c r="Y82" s="6">
        <v>0.40078375489846818</v>
      </c>
      <c r="Z82" s="6">
        <f t="shared" si="8"/>
        <v>36.239757748485943</v>
      </c>
      <c r="AA82" s="6">
        <v>34.224568892883219</v>
      </c>
      <c r="AB82" s="6">
        <v>0.2752345110374656</v>
      </c>
      <c r="AC82" s="6">
        <f t="shared" si="9"/>
        <v>34.499803403920687</v>
      </c>
      <c r="AD82" s="6">
        <v>32.770739996910237</v>
      </c>
      <c r="AE82" s="6">
        <v>0.36304650084968332</v>
      </c>
      <c r="AF82" s="6">
        <f t="shared" si="10"/>
        <v>33.133786497759921</v>
      </c>
      <c r="AG82" s="6">
        <v>32.761389569774323</v>
      </c>
      <c r="AH82" s="6">
        <v>0.27329332544445378</v>
      </c>
      <c r="AI82" s="6">
        <f t="shared" si="11"/>
        <v>33.034682895218779</v>
      </c>
      <c r="AJ82">
        <v>13.675252984925891</v>
      </c>
      <c r="AK82" s="3">
        <v>143.9609327496899</v>
      </c>
      <c r="AL82">
        <v>124.7831349860943</v>
      </c>
      <c r="AM82">
        <v>86.678470750852412</v>
      </c>
      <c r="AN82">
        <v>24.39133125361526</v>
      </c>
      <c r="AO82">
        <v>98.870191082515589</v>
      </c>
      <c r="AP82">
        <v>41.831932443595313</v>
      </c>
      <c r="AQ82">
        <v>42.309954077749282</v>
      </c>
      <c r="AR82">
        <v>36.385014158303733</v>
      </c>
      <c r="AS82">
        <v>103.1371561735298</v>
      </c>
      <c r="AT82">
        <v>34.943805181206351</v>
      </c>
      <c r="AU82">
        <v>33.88090817863241</v>
      </c>
      <c r="AV82">
        <v>41.194887525272676</v>
      </c>
      <c r="AW82">
        <v>103.607519955752</v>
      </c>
      <c r="AX82">
        <v>29.71093259615802</v>
      </c>
      <c r="AY82">
        <v>28.67642484719908</v>
      </c>
      <c r="AZ82">
        <v>27.62755467579127</v>
      </c>
      <c r="BA82">
        <v>115.1835114330574</v>
      </c>
      <c r="BB82">
        <v>62.970649343430651</v>
      </c>
      <c r="BC82">
        <v>54.669846890392883</v>
      </c>
      <c r="BD82">
        <v>31.463283271172401</v>
      </c>
      <c r="BE82">
        <v>118.7132847958371</v>
      </c>
      <c r="BF82">
        <v>69.32328904715699</v>
      </c>
      <c r="BG82">
        <v>58.395561344611977</v>
      </c>
      <c r="BH82">
        <v>0.74129240919919526</v>
      </c>
      <c r="BI82">
        <v>0.13443414534622389</v>
      </c>
      <c r="BJ82">
        <v>0.75251576134941933</v>
      </c>
      <c r="BK82">
        <v>0.12260407795785749</v>
      </c>
      <c r="BL82">
        <v>0.75647981459765923</v>
      </c>
      <c r="BM82">
        <v>0.1168149640711366</v>
      </c>
      <c r="BN82">
        <v>0.76295727428020155</v>
      </c>
      <c r="BO82">
        <v>0.10915922162156901</v>
      </c>
      <c r="BP82">
        <v>0.76360258364076272</v>
      </c>
      <c r="BQ82">
        <v>0.1075621574936977</v>
      </c>
      <c r="BR82">
        <v>0.76801574172290976</v>
      </c>
      <c r="BS82">
        <v>0.1100155637577339</v>
      </c>
    </row>
    <row r="83" spans="1:71" x14ac:dyDescent="0.3">
      <c r="A83" t="s">
        <v>484</v>
      </c>
      <c r="B83" t="s">
        <v>66</v>
      </c>
      <c r="C83" t="s">
        <v>149</v>
      </c>
      <c r="D83" t="s">
        <v>176</v>
      </c>
      <c r="E83" s="2">
        <v>42947</v>
      </c>
      <c r="F83" s="2">
        <v>0.65972222222262644</v>
      </c>
      <c r="G83">
        <v>93</v>
      </c>
      <c r="H83" s="2">
        <v>42977</v>
      </c>
      <c r="I83" s="2">
        <v>0.34791666666569648</v>
      </c>
      <c r="J83" t="s">
        <v>316</v>
      </c>
      <c r="K83">
        <v>60</v>
      </c>
      <c r="L83" t="s">
        <v>177</v>
      </c>
      <c r="M83" t="s">
        <v>188</v>
      </c>
      <c r="N83" t="s">
        <v>485</v>
      </c>
      <c r="O83" t="s">
        <v>486</v>
      </c>
      <c r="P83" t="s">
        <v>487</v>
      </c>
      <c r="Q83" t="s">
        <v>488</v>
      </c>
      <c r="R83">
        <v>13.46749226006192</v>
      </c>
      <c r="S83">
        <v>0.30959752321981432</v>
      </c>
      <c r="T83" s="6">
        <f t="shared" si="6"/>
        <v>13.777089783281735</v>
      </c>
      <c r="U83" s="6">
        <v>17.38424045491471</v>
      </c>
      <c r="V83" s="6">
        <v>0.37367993501218522</v>
      </c>
      <c r="W83" s="6">
        <f t="shared" si="7"/>
        <v>17.757920389926895</v>
      </c>
      <c r="X83" s="6">
        <v>12.362759975006689</v>
      </c>
      <c r="Y83" s="6">
        <v>0.20530215120949741</v>
      </c>
      <c r="Z83" s="6">
        <f t="shared" si="8"/>
        <v>12.568062126216187</v>
      </c>
      <c r="AA83" s="6">
        <v>9.9213483146067425</v>
      </c>
      <c r="AB83" s="6">
        <v>0.6348314606741573</v>
      </c>
      <c r="AC83" s="6">
        <f t="shared" si="9"/>
        <v>10.556179775280899</v>
      </c>
      <c r="AD83" s="6">
        <v>8.1478045763760054</v>
      </c>
      <c r="AE83" s="6">
        <v>1.159554730983303</v>
      </c>
      <c r="AF83" s="6">
        <f t="shared" si="10"/>
        <v>9.3073593073593077</v>
      </c>
      <c r="AG83" s="6">
        <v>7.7778716454056482</v>
      </c>
      <c r="AH83" s="6">
        <v>3.3567063726732558</v>
      </c>
      <c r="AI83" s="6">
        <f t="shared" si="11"/>
        <v>11.134578018078905</v>
      </c>
      <c r="AJ83">
        <v>7.1678298919830921</v>
      </c>
      <c r="AK83" s="3">
        <v>104.3514512191816</v>
      </c>
      <c r="AL83">
        <v>81.787643687540751</v>
      </c>
      <c r="AM83">
        <v>78.377102313366535</v>
      </c>
      <c r="AN83">
        <v>29.342464688895909</v>
      </c>
      <c r="AO83">
        <v>81.891286258680324</v>
      </c>
      <c r="AP83">
        <v>2.8111682803269611</v>
      </c>
      <c r="AQ83">
        <v>3.4328051356367379</v>
      </c>
      <c r="AR83">
        <v>28.349169909867442</v>
      </c>
      <c r="AS83">
        <v>146.55580847545679</v>
      </c>
      <c r="AT83">
        <v>129.34941120401291</v>
      </c>
      <c r="AU83">
        <v>88.259491418024908</v>
      </c>
      <c r="AV83">
        <v>18.916225234599079</v>
      </c>
      <c r="AW83">
        <v>163.00138200858351</v>
      </c>
      <c r="AX83">
        <v>121.39137448708919</v>
      </c>
      <c r="AY83">
        <v>74.472604459695219</v>
      </c>
      <c r="AZ83">
        <v>12.120880884756691</v>
      </c>
      <c r="BA83">
        <v>161.8110294007754</v>
      </c>
      <c r="BB83">
        <v>143.93147159546771</v>
      </c>
      <c r="BC83">
        <v>88.950346665786668</v>
      </c>
      <c r="BD83">
        <v>14.47110907201391</v>
      </c>
      <c r="BE83">
        <v>126.6060348720416</v>
      </c>
      <c r="BF83">
        <v>117.523782879442</v>
      </c>
      <c r="BG83">
        <v>92.826367240883258</v>
      </c>
      <c r="BH83">
        <v>0.77902139330644604</v>
      </c>
      <c r="BI83">
        <v>7.9903217449734207E-2</v>
      </c>
      <c r="BJ83">
        <v>0.78512515353380163</v>
      </c>
      <c r="BK83">
        <v>6.5568193107474498E-2</v>
      </c>
      <c r="BL83">
        <v>0.7845993155044847</v>
      </c>
      <c r="BM83">
        <v>6.4751096713210096E-2</v>
      </c>
      <c r="BN83">
        <v>0.77980401598208526</v>
      </c>
      <c r="BO83">
        <v>7.23200538816718E-2</v>
      </c>
      <c r="BP83">
        <v>0.77476293814990138</v>
      </c>
      <c r="BQ83">
        <v>8.1436049120765699E-2</v>
      </c>
      <c r="BR83">
        <v>0.75505286840741848</v>
      </c>
      <c r="BS83">
        <v>0.11044342853897331</v>
      </c>
    </row>
    <row r="84" spans="1:71" x14ac:dyDescent="0.3">
      <c r="A84" t="s">
        <v>484</v>
      </c>
      <c r="B84" t="s">
        <v>76</v>
      </c>
      <c r="C84" t="s">
        <v>142</v>
      </c>
      <c r="D84" t="s">
        <v>315</v>
      </c>
      <c r="E84" s="2">
        <v>42947</v>
      </c>
      <c r="F84" s="2">
        <v>0.58888888888759539</v>
      </c>
      <c r="G84">
        <v>93</v>
      </c>
      <c r="H84" s="2">
        <v>42977</v>
      </c>
      <c r="I84" s="2">
        <v>0.35694444444379769</v>
      </c>
      <c r="J84" t="s">
        <v>396</v>
      </c>
      <c r="K84">
        <v>98</v>
      </c>
      <c r="L84" t="s">
        <v>70</v>
      </c>
      <c r="M84" t="s">
        <v>188</v>
      </c>
      <c r="N84" t="s">
        <v>489</v>
      </c>
      <c r="O84" t="s">
        <v>490</v>
      </c>
      <c r="P84" t="s">
        <v>491</v>
      </c>
      <c r="R84">
        <v>13.46749226006192</v>
      </c>
      <c r="S84">
        <v>0.30959752321981432</v>
      </c>
      <c r="T84" s="6">
        <f t="shared" si="6"/>
        <v>13.777089783281735</v>
      </c>
      <c r="U84" s="6">
        <v>17.38424045491471</v>
      </c>
      <c r="V84" s="6">
        <v>0.37367993501218522</v>
      </c>
      <c r="W84" s="6">
        <f t="shared" si="7"/>
        <v>17.757920389926895</v>
      </c>
      <c r="X84" s="6">
        <v>12.362759975006689</v>
      </c>
      <c r="Y84" s="6">
        <v>0.20530215120949741</v>
      </c>
      <c r="Z84" s="6">
        <f t="shared" si="8"/>
        <v>12.568062126216187</v>
      </c>
      <c r="AA84" s="6">
        <v>9.9213483146067425</v>
      </c>
      <c r="AB84" s="6">
        <v>0.6348314606741573</v>
      </c>
      <c r="AC84" s="6">
        <f t="shared" si="9"/>
        <v>10.556179775280899</v>
      </c>
      <c r="AD84" s="6">
        <v>8.1478045763760054</v>
      </c>
      <c r="AE84" s="6">
        <v>1.159554730983303</v>
      </c>
      <c r="AF84" s="6">
        <f t="shared" si="10"/>
        <v>9.3073593073593077</v>
      </c>
      <c r="AG84" s="6">
        <v>7.7778716454056482</v>
      </c>
      <c r="AH84" s="6">
        <v>3.3567063726732558</v>
      </c>
      <c r="AI84" s="6">
        <f t="shared" si="11"/>
        <v>11.134578018078905</v>
      </c>
      <c r="AJ84">
        <v>7.1678298919830921</v>
      </c>
      <c r="AK84" s="3">
        <v>104.3514512191816</v>
      </c>
      <c r="AL84">
        <v>81.787643687540751</v>
      </c>
      <c r="AM84">
        <v>78.377102313366535</v>
      </c>
      <c r="AN84">
        <v>29.342464688895909</v>
      </c>
      <c r="AO84">
        <v>81.891286258680324</v>
      </c>
      <c r="AP84">
        <v>2.8111682803269611</v>
      </c>
      <c r="AQ84">
        <v>3.4328051356367379</v>
      </c>
      <c r="AR84">
        <v>28.349169909867442</v>
      </c>
      <c r="AS84">
        <v>146.55580847545679</v>
      </c>
      <c r="AT84">
        <v>129.34941120401291</v>
      </c>
      <c r="AU84">
        <v>88.259491418024908</v>
      </c>
      <c r="AV84">
        <v>18.916225234599079</v>
      </c>
      <c r="AW84">
        <v>163.00138200858351</v>
      </c>
      <c r="AX84">
        <v>121.39137448708919</v>
      </c>
      <c r="AY84">
        <v>74.472604459695219</v>
      </c>
      <c r="AZ84">
        <v>12.120880884756691</v>
      </c>
      <c r="BA84">
        <v>161.8110294007754</v>
      </c>
      <c r="BB84">
        <v>143.93147159546771</v>
      </c>
      <c r="BC84">
        <v>88.950346665786668</v>
      </c>
      <c r="BD84">
        <v>14.47110907201391</v>
      </c>
      <c r="BE84">
        <v>126.6060348720416</v>
      </c>
      <c r="BF84">
        <v>117.523782879442</v>
      </c>
      <c r="BG84">
        <v>92.826367240883258</v>
      </c>
      <c r="BH84">
        <v>0.77902139330644604</v>
      </c>
      <c r="BI84">
        <v>7.9903217449734207E-2</v>
      </c>
      <c r="BJ84">
        <v>0.78512515353380163</v>
      </c>
      <c r="BK84">
        <v>6.5568193107474498E-2</v>
      </c>
      <c r="BL84">
        <v>0.7845993155044847</v>
      </c>
      <c r="BM84">
        <v>6.4751096713210096E-2</v>
      </c>
      <c r="BN84">
        <v>0.77980401598208526</v>
      </c>
      <c r="BO84">
        <v>7.23200538816718E-2</v>
      </c>
      <c r="BP84">
        <v>0.77476293814990138</v>
      </c>
      <c r="BQ84">
        <v>8.1436049120765699E-2</v>
      </c>
      <c r="BR84">
        <v>0.75505286840741848</v>
      </c>
      <c r="BS84">
        <v>0.11044342853897331</v>
      </c>
    </row>
    <row r="85" spans="1:71" x14ac:dyDescent="0.3">
      <c r="A85" t="s">
        <v>484</v>
      </c>
      <c r="B85" t="s">
        <v>83</v>
      </c>
      <c r="C85" t="s">
        <v>136</v>
      </c>
      <c r="D85" t="s">
        <v>183</v>
      </c>
      <c r="E85" s="2">
        <v>42947</v>
      </c>
      <c r="F85" s="2">
        <v>0.46180555555474712</v>
      </c>
      <c r="G85">
        <v>91</v>
      </c>
      <c r="H85" s="2">
        <v>42977</v>
      </c>
      <c r="I85" s="2">
        <v>0.36875000000145519</v>
      </c>
      <c r="J85" t="s">
        <v>316</v>
      </c>
      <c r="K85">
        <v>131</v>
      </c>
      <c r="L85" t="s">
        <v>177</v>
      </c>
      <c r="M85" t="s">
        <v>188</v>
      </c>
      <c r="N85" t="s">
        <v>492</v>
      </c>
      <c r="O85" t="s">
        <v>493</v>
      </c>
      <c r="P85" t="s">
        <v>494</v>
      </c>
      <c r="R85">
        <v>13.46749226006192</v>
      </c>
      <c r="S85">
        <v>0.30959752321981432</v>
      </c>
      <c r="T85" s="6">
        <f t="shared" si="6"/>
        <v>13.777089783281735</v>
      </c>
      <c r="U85" s="6">
        <v>17.38424045491471</v>
      </c>
      <c r="V85" s="6">
        <v>0.37367993501218522</v>
      </c>
      <c r="W85" s="6">
        <f t="shared" si="7"/>
        <v>17.757920389926895</v>
      </c>
      <c r="X85" s="6">
        <v>12.362759975006689</v>
      </c>
      <c r="Y85" s="6">
        <v>0.20530215120949741</v>
      </c>
      <c r="Z85" s="6">
        <f t="shared" si="8"/>
        <v>12.568062126216187</v>
      </c>
      <c r="AA85" s="6">
        <v>9.9213483146067425</v>
      </c>
      <c r="AB85" s="6">
        <v>0.6348314606741573</v>
      </c>
      <c r="AC85" s="6">
        <f t="shared" si="9"/>
        <v>10.556179775280899</v>
      </c>
      <c r="AD85" s="6">
        <v>8.1478045763760054</v>
      </c>
      <c r="AE85" s="6">
        <v>1.159554730983303</v>
      </c>
      <c r="AF85" s="6">
        <f t="shared" si="10"/>
        <v>9.3073593073593077</v>
      </c>
      <c r="AG85" s="6">
        <v>7.7778716454056482</v>
      </c>
      <c r="AH85" s="6">
        <v>3.3567063726732558</v>
      </c>
      <c r="AI85" s="6">
        <f t="shared" si="11"/>
        <v>11.134578018078905</v>
      </c>
      <c r="AJ85">
        <v>7.1678298919830921</v>
      </c>
      <c r="AK85" s="3">
        <v>104.3514512191816</v>
      </c>
      <c r="AL85">
        <v>81.787643687540751</v>
      </c>
      <c r="AM85">
        <v>78.377102313366535</v>
      </c>
      <c r="AN85">
        <v>29.342464688895909</v>
      </c>
      <c r="AO85">
        <v>81.891286258680324</v>
      </c>
      <c r="AP85">
        <v>2.8111682803269611</v>
      </c>
      <c r="AQ85">
        <v>3.4328051356367379</v>
      </c>
      <c r="AR85">
        <v>28.349169909867442</v>
      </c>
      <c r="AS85">
        <v>146.55580847545679</v>
      </c>
      <c r="AT85">
        <v>129.34941120401291</v>
      </c>
      <c r="AU85">
        <v>88.259491418024908</v>
      </c>
      <c r="AV85">
        <v>18.916225234599079</v>
      </c>
      <c r="AW85">
        <v>163.00138200858351</v>
      </c>
      <c r="AX85">
        <v>121.39137448708919</v>
      </c>
      <c r="AY85">
        <v>74.472604459695219</v>
      </c>
      <c r="AZ85">
        <v>12.120880884756691</v>
      </c>
      <c r="BA85">
        <v>161.8110294007754</v>
      </c>
      <c r="BB85">
        <v>143.93147159546771</v>
      </c>
      <c r="BC85">
        <v>88.950346665786668</v>
      </c>
      <c r="BD85">
        <v>14.47110907201391</v>
      </c>
      <c r="BE85">
        <v>126.6060348720416</v>
      </c>
      <c r="BF85">
        <v>117.523782879442</v>
      </c>
      <c r="BG85">
        <v>92.826367240883258</v>
      </c>
      <c r="BH85">
        <v>0.77902139330644604</v>
      </c>
      <c r="BI85">
        <v>7.9903217449734207E-2</v>
      </c>
      <c r="BJ85">
        <v>0.78512515353380163</v>
      </c>
      <c r="BK85">
        <v>6.5568193107474498E-2</v>
      </c>
      <c r="BL85">
        <v>0.7845993155044847</v>
      </c>
      <c r="BM85">
        <v>6.4751096713210096E-2</v>
      </c>
      <c r="BN85">
        <v>0.77980401598208526</v>
      </c>
      <c r="BO85">
        <v>7.23200538816718E-2</v>
      </c>
      <c r="BP85">
        <v>0.77476293814990138</v>
      </c>
      <c r="BQ85">
        <v>8.1436049120765699E-2</v>
      </c>
      <c r="BR85">
        <v>0.75505286840741848</v>
      </c>
      <c r="BS85">
        <v>0.11044342853897331</v>
      </c>
    </row>
    <row r="86" spans="1:71" x14ac:dyDescent="0.3">
      <c r="A86" t="s">
        <v>495</v>
      </c>
      <c r="B86" t="s">
        <v>76</v>
      </c>
      <c r="C86" t="s">
        <v>84</v>
      </c>
      <c r="D86" t="s">
        <v>195</v>
      </c>
      <c r="E86" s="2">
        <v>42922</v>
      </c>
      <c r="F86" s="2">
        <v>0.46736111111022183</v>
      </c>
      <c r="G86">
        <v>94</v>
      </c>
      <c r="H86" s="2">
        <v>42950</v>
      </c>
      <c r="I86" s="2">
        <v>0.34513888888977817</v>
      </c>
      <c r="J86" t="s">
        <v>496</v>
      </c>
      <c r="K86">
        <v>135</v>
      </c>
      <c r="L86" t="s">
        <v>220</v>
      </c>
      <c r="M86" t="s">
        <v>188</v>
      </c>
      <c r="N86" t="s">
        <v>497</v>
      </c>
      <c r="O86" t="s">
        <v>498</v>
      </c>
      <c r="P86" t="s">
        <v>499</v>
      </c>
      <c r="Q86" t="s">
        <v>199</v>
      </c>
      <c r="R86">
        <v>7.8491727587533662</v>
      </c>
      <c r="S86">
        <v>0</v>
      </c>
      <c r="T86" s="6">
        <f t="shared" si="6"/>
        <v>7.8491727587533662</v>
      </c>
      <c r="U86" s="6">
        <v>5.8126319207663579</v>
      </c>
      <c r="V86" s="6">
        <v>0</v>
      </c>
      <c r="W86" s="6">
        <f t="shared" si="7"/>
        <v>5.8126319207663579</v>
      </c>
      <c r="X86" s="6">
        <v>7.3414112615823228</v>
      </c>
      <c r="Y86" s="6">
        <v>0</v>
      </c>
      <c r="Z86" s="6">
        <f t="shared" si="8"/>
        <v>7.3414112615823228</v>
      </c>
      <c r="AA86" s="6">
        <v>8.4222346996069621</v>
      </c>
      <c r="AB86" s="6">
        <v>5.0533408197641773E-2</v>
      </c>
      <c r="AC86" s="6">
        <f t="shared" si="9"/>
        <v>8.4727681078046047</v>
      </c>
      <c r="AD86" s="6">
        <v>9.8907040512879938</v>
      </c>
      <c r="AE86" s="6">
        <v>3.475842891901286E-2</v>
      </c>
      <c r="AF86" s="6">
        <f t="shared" si="10"/>
        <v>9.9254624802070062</v>
      </c>
      <c r="AG86" s="6">
        <v>11.113615870153289</v>
      </c>
      <c r="AH86" s="6">
        <v>2.536068530207394E-2</v>
      </c>
      <c r="AI86" s="6">
        <f t="shared" si="11"/>
        <v>11.138976555455363</v>
      </c>
      <c r="AJ86">
        <v>5.4765441871331682</v>
      </c>
      <c r="AK86" s="3">
        <v>71.946270398995495</v>
      </c>
      <c r="AL86">
        <v>26.306459045546539</v>
      </c>
      <c r="AM86">
        <v>36.564034382404657</v>
      </c>
      <c r="AN86">
        <v>4.8053990661595316</v>
      </c>
      <c r="AO86">
        <v>284.67868106228337</v>
      </c>
      <c r="AP86">
        <v>303.60114822411782</v>
      </c>
      <c r="AQ86">
        <v>106.6469561722096</v>
      </c>
      <c r="AR86">
        <v>8.2852865184023248</v>
      </c>
      <c r="AS86">
        <v>318.42868493094011</v>
      </c>
      <c r="AT86">
        <v>325.83902270720819</v>
      </c>
      <c r="AU86">
        <v>102.327157736394</v>
      </c>
      <c r="AV86">
        <v>6.7517199169794848</v>
      </c>
      <c r="AW86">
        <v>144.69581833785961</v>
      </c>
      <c r="AX86">
        <v>99.043576499389971</v>
      </c>
      <c r="AY86">
        <v>68.44950851870972</v>
      </c>
      <c r="AZ86">
        <v>6.9020564240774052</v>
      </c>
      <c r="BA86">
        <v>113.49538639081869</v>
      </c>
      <c r="BB86">
        <v>84.182460852378284</v>
      </c>
      <c r="BC86">
        <v>74.172584040110635</v>
      </c>
      <c r="BD86">
        <v>9.0961257024087434</v>
      </c>
      <c r="BE86">
        <v>145.38852252700119</v>
      </c>
      <c r="BF86">
        <v>157.8875859617302</v>
      </c>
      <c r="BG86">
        <v>108.5970083590386</v>
      </c>
      <c r="BH86">
        <v>0.82970623754501727</v>
      </c>
      <c r="BI86">
        <v>9.6284060728339102E-2</v>
      </c>
      <c r="BJ86">
        <v>0.83714975504494971</v>
      </c>
      <c r="BK86">
        <v>9.7930051059028994E-2</v>
      </c>
      <c r="BL86">
        <v>0.84624312286406778</v>
      </c>
      <c r="BM86">
        <v>8.7264814933399104E-2</v>
      </c>
      <c r="BN86">
        <v>0.84222662031781281</v>
      </c>
      <c r="BO86">
        <v>8.6593560019795401E-2</v>
      </c>
      <c r="BP86">
        <v>0.84052468359075938</v>
      </c>
      <c r="BQ86">
        <v>8.6026604141840393E-2</v>
      </c>
      <c r="BR86">
        <v>0.83519888877507109</v>
      </c>
      <c r="BS86">
        <v>8.6836703717366903E-2</v>
      </c>
    </row>
    <row r="87" spans="1:71" x14ac:dyDescent="0.3">
      <c r="A87" t="s">
        <v>495</v>
      </c>
      <c r="B87" t="s">
        <v>83</v>
      </c>
      <c r="C87" t="s">
        <v>77</v>
      </c>
      <c r="D87" t="s">
        <v>103</v>
      </c>
      <c r="E87" s="2">
        <v>42922</v>
      </c>
      <c r="F87" s="2">
        <v>0.52569444444452529</v>
      </c>
      <c r="G87">
        <v>97</v>
      </c>
      <c r="H87" s="2">
        <v>42950</v>
      </c>
      <c r="I87" s="2">
        <v>0.36666666666496889</v>
      </c>
      <c r="J87" t="s">
        <v>69</v>
      </c>
      <c r="K87">
        <v>289</v>
      </c>
      <c r="L87" t="s">
        <v>157</v>
      </c>
      <c r="M87" t="s">
        <v>226</v>
      </c>
      <c r="N87" t="s">
        <v>500</v>
      </c>
      <c r="O87" t="s">
        <v>501</v>
      </c>
      <c r="R87">
        <v>7.8491727587533662</v>
      </c>
      <c r="S87">
        <v>0</v>
      </c>
      <c r="T87" s="6">
        <f t="shared" si="6"/>
        <v>7.8491727587533662</v>
      </c>
      <c r="U87" s="6">
        <v>5.8126319207663579</v>
      </c>
      <c r="V87" s="6">
        <v>0</v>
      </c>
      <c r="W87" s="6">
        <f t="shared" si="7"/>
        <v>5.8126319207663579</v>
      </c>
      <c r="X87" s="6">
        <v>7.3414112615823228</v>
      </c>
      <c r="Y87" s="6">
        <v>0</v>
      </c>
      <c r="Z87" s="6">
        <f t="shared" si="8"/>
        <v>7.3414112615823228</v>
      </c>
      <c r="AA87" s="6">
        <v>8.4222346996069621</v>
      </c>
      <c r="AB87" s="6">
        <v>5.0533408197641773E-2</v>
      </c>
      <c r="AC87" s="6">
        <f t="shared" si="9"/>
        <v>8.4727681078046047</v>
      </c>
      <c r="AD87" s="6">
        <v>9.8907040512879938</v>
      </c>
      <c r="AE87" s="6">
        <v>3.475842891901286E-2</v>
      </c>
      <c r="AF87" s="6">
        <f t="shared" si="10"/>
        <v>9.9254624802070062</v>
      </c>
      <c r="AG87" s="6">
        <v>11.113615870153289</v>
      </c>
      <c r="AH87" s="6">
        <v>2.536068530207394E-2</v>
      </c>
      <c r="AI87" s="6">
        <f t="shared" si="11"/>
        <v>11.138976555455363</v>
      </c>
      <c r="AJ87">
        <v>5.4765441871331682</v>
      </c>
      <c r="AK87" s="3">
        <v>71.946270398995495</v>
      </c>
      <c r="AL87">
        <v>26.306459045546539</v>
      </c>
      <c r="AM87">
        <v>36.564034382404657</v>
      </c>
      <c r="AN87">
        <v>4.8053990661595316</v>
      </c>
      <c r="AO87">
        <v>284.67868106228337</v>
      </c>
      <c r="AP87">
        <v>303.60114822411782</v>
      </c>
      <c r="AQ87">
        <v>106.6469561722096</v>
      </c>
      <c r="AR87">
        <v>8.2852865184023248</v>
      </c>
      <c r="AS87">
        <v>318.42868493094011</v>
      </c>
      <c r="AT87">
        <v>325.83902270720819</v>
      </c>
      <c r="AU87">
        <v>102.327157736394</v>
      </c>
      <c r="AV87">
        <v>6.7517199169794848</v>
      </c>
      <c r="AW87">
        <v>144.69581833785961</v>
      </c>
      <c r="AX87">
        <v>99.043576499389971</v>
      </c>
      <c r="AY87">
        <v>68.44950851870972</v>
      </c>
      <c r="AZ87">
        <v>6.9020564240774052</v>
      </c>
      <c r="BA87">
        <v>113.49538639081869</v>
      </c>
      <c r="BB87">
        <v>84.182460852378284</v>
      </c>
      <c r="BC87">
        <v>74.172584040110635</v>
      </c>
      <c r="BD87">
        <v>9.0961257024087434</v>
      </c>
      <c r="BE87">
        <v>145.38852252700119</v>
      </c>
      <c r="BF87">
        <v>157.8875859617302</v>
      </c>
      <c r="BG87">
        <v>108.5970083590386</v>
      </c>
      <c r="BH87">
        <v>0.82970623754501727</v>
      </c>
      <c r="BI87">
        <v>9.6284060728339102E-2</v>
      </c>
      <c r="BJ87">
        <v>0.83714975504494971</v>
      </c>
      <c r="BK87">
        <v>9.7930051059028994E-2</v>
      </c>
      <c r="BL87">
        <v>0.84624312286406778</v>
      </c>
      <c r="BM87">
        <v>8.7264814933399104E-2</v>
      </c>
      <c r="BN87">
        <v>0.84222662031781281</v>
      </c>
      <c r="BO87">
        <v>8.6593560019795401E-2</v>
      </c>
      <c r="BP87">
        <v>0.84052468359075938</v>
      </c>
      <c r="BQ87">
        <v>8.6026604141840393E-2</v>
      </c>
      <c r="BR87">
        <v>0.83519888877507109</v>
      </c>
      <c r="BS87">
        <v>8.6836703717366903E-2</v>
      </c>
    </row>
    <row r="88" spans="1:71" s="3" customFormat="1" x14ac:dyDescent="0.3">
      <c r="A88" s="3" t="s">
        <v>502</v>
      </c>
      <c r="B88" s="3" t="s">
        <v>66</v>
      </c>
      <c r="C88" s="3" t="s">
        <v>218</v>
      </c>
      <c r="D88" s="3" t="s">
        <v>271</v>
      </c>
      <c r="E88" s="4">
        <v>42892</v>
      </c>
      <c r="F88" s="4">
        <v>0.34722222222262639</v>
      </c>
      <c r="G88" s="3">
        <v>99</v>
      </c>
      <c r="H88" s="4">
        <v>42920</v>
      </c>
      <c r="I88" s="4">
        <v>0.36111111110949418</v>
      </c>
      <c r="J88" s="3" t="s">
        <v>206</v>
      </c>
      <c r="K88" s="3">
        <v>306</v>
      </c>
      <c r="L88" s="3" t="s">
        <v>70</v>
      </c>
      <c r="M88" s="3" t="s">
        <v>226</v>
      </c>
      <c r="N88" s="3" t="s">
        <v>503</v>
      </c>
      <c r="O88" s="3" t="s">
        <v>504</v>
      </c>
      <c r="P88" s="3" t="s">
        <v>505</v>
      </c>
      <c r="R88" s="3">
        <v>8.0139372822299677</v>
      </c>
      <c r="S88" s="3">
        <v>0.38714672861014332</v>
      </c>
      <c r="T88" s="3">
        <f t="shared" si="6"/>
        <v>8.4010840108401119</v>
      </c>
      <c r="U88" s="3">
        <v>8.8870836718115349</v>
      </c>
      <c r="V88" s="3">
        <v>0.25995125913891148</v>
      </c>
      <c r="W88" s="3">
        <f t="shared" si="7"/>
        <v>9.1470349309504471</v>
      </c>
      <c r="X88" s="3">
        <v>11.763655837201</v>
      </c>
      <c r="Y88" s="3">
        <v>0.24098536237058199</v>
      </c>
      <c r="Z88" s="3">
        <f t="shared" si="8"/>
        <v>12.004641199571582</v>
      </c>
      <c r="AA88" s="3">
        <v>16.52154373349812</v>
      </c>
      <c r="AB88" s="3">
        <v>0.2303241390933094</v>
      </c>
      <c r="AC88" s="3">
        <f t="shared" si="9"/>
        <v>16.751867872591429</v>
      </c>
      <c r="AD88" s="3">
        <v>17.995593862327521</v>
      </c>
      <c r="AE88" s="3">
        <v>0.28601244540640819</v>
      </c>
      <c r="AF88" s="3">
        <f t="shared" si="10"/>
        <v>18.281606307733931</v>
      </c>
      <c r="AG88" s="3">
        <v>19.706959706959712</v>
      </c>
      <c r="AH88" s="3">
        <v>0.50718512256973791</v>
      </c>
      <c r="AI88" s="3">
        <f t="shared" si="11"/>
        <v>20.214144829529449</v>
      </c>
      <c r="AJ88" s="3">
        <v>2.18457736876451</v>
      </c>
      <c r="AK88" s="3">
        <v>155.72379602455501</v>
      </c>
      <c r="AL88" s="3">
        <v>200.99121827536001</v>
      </c>
      <c r="AM88" s="3">
        <v>129.06904622570789</v>
      </c>
      <c r="AN88" s="3">
        <v>5.0380627080973079</v>
      </c>
      <c r="AO88" s="3">
        <v>112.16950063905649</v>
      </c>
      <c r="AP88" s="3">
        <v>71.228935361374212</v>
      </c>
      <c r="AQ88" s="3">
        <v>63.501161149479927</v>
      </c>
      <c r="AR88" s="3">
        <v>8.3325248096092768</v>
      </c>
      <c r="AS88" s="3">
        <v>208.17637556833779</v>
      </c>
      <c r="AT88" s="3">
        <v>232.93739635576659</v>
      </c>
      <c r="AU88" s="3">
        <v>111.89425107427741</v>
      </c>
      <c r="AV88" s="3">
        <v>15.99473052300899</v>
      </c>
      <c r="AW88" s="3">
        <v>144.57605723831861</v>
      </c>
      <c r="AX88" s="3">
        <v>86.377756904402148</v>
      </c>
      <c r="AY88" s="3">
        <v>59.745547467806112</v>
      </c>
      <c r="AZ88" s="3">
        <v>19.043071662463351</v>
      </c>
      <c r="BA88" s="3">
        <v>139.44290379720869</v>
      </c>
      <c r="BB88" s="3">
        <v>97.035615802465614</v>
      </c>
      <c r="BC88" s="3">
        <v>69.588063042336074</v>
      </c>
      <c r="BD88" s="3">
        <v>22.215936035131989</v>
      </c>
      <c r="BE88" s="3">
        <v>127.520652001977</v>
      </c>
      <c r="BF88" s="3">
        <v>75.517737263563674</v>
      </c>
      <c r="BG88" s="3">
        <v>59.220005605361003</v>
      </c>
      <c r="BH88" s="3">
        <v>0.75511929196304306</v>
      </c>
      <c r="BI88" s="3">
        <v>0.1080456892403439</v>
      </c>
      <c r="BJ88" s="3">
        <v>0.76262089543791267</v>
      </c>
      <c r="BK88" s="3">
        <v>0.1129230297587399</v>
      </c>
      <c r="BL88" s="3">
        <v>0.79009446955191465</v>
      </c>
      <c r="BM88" s="3">
        <v>0.10326901797210671</v>
      </c>
      <c r="BN88" s="3">
        <v>0.80204990300009604</v>
      </c>
      <c r="BO88" s="3">
        <v>8.5019051827474101E-2</v>
      </c>
      <c r="BP88" s="3">
        <v>0.80101576591973522</v>
      </c>
      <c r="BQ88" s="3">
        <v>7.7436384158508301E-2</v>
      </c>
      <c r="BR88" s="3">
        <v>0.7958099590146851</v>
      </c>
      <c r="BS88" s="3">
        <v>7.9516034783609996E-2</v>
      </c>
    </row>
    <row r="89" spans="1:71" x14ac:dyDescent="0.3">
      <c r="A89" t="s">
        <v>502</v>
      </c>
      <c r="B89" t="s">
        <v>76</v>
      </c>
      <c r="C89" t="s">
        <v>155</v>
      </c>
      <c r="D89" t="s">
        <v>176</v>
      </c>
      <c r="E89" s="2">
        <v>42892</v>
      </c>
      <c r="F89" s="2">
        <v>0.42222222222335398</v>
      </c>
      <c r="G89">
        <v>99</v>
      </c>
      <c r="H89" s="2">
        <v>42920</v>
      </c>
      <c r="I89" s="2">
        <v>0.3756944444430701</v>
      </c>
      <c r="J89" t="s">
        <v>506</v>
      </c>
      <c r="K89">
        <v>249</v>
      </c>
      <c r="L89" t="s">
        <v>70</v>
      </c>
      <c r="M89" t="s">
        <v>299</v>
      </c>
      <c r="N89" t="s">
        <v>507</v>
      </c>
      <c r="O89" t="s">
        <v>508</v>
      </c>
      <c r="P89" t="s">
        <v>509</v>
      </c>
      <c r="R89">
        <v>8.0139372822299677</v>
      </c>
      <c r="S89">
        <v>0.38714672861014332</v>
      </c>
      <c r="T89" s="6">
        <f t="shared" si="6"/>
        <v>8.4010840108401119</v>
      </c>
      <c r="U89" s="6">
        <v>8.8870836718115349</v>
      </c>
      <c r="V89" s="6">
        <v>0.25995125913891148</v>
      </c>
      <c r="W89" s="6">
        <f t="shared" si="7"/>
        <v>9.1470349309504471</v>
      </c>
      <c r="X89" s="6">
        <v>11.763655837201</v>
      </c>
      <c r="Y89" s="6">
        <v>0.24098536237058199</v>
      </c>
      <c r="Z89" s="6">
        <f t="shared" si="8"/>
        <v>12.004641199571582</v>
      </c>
      <c r="AA89" s="6">
        <v>16.52154373349812</v>
      </c>
      <c r="AB89" s="6">
        <v>0.2303241390933094</v>
      </c>
      <c r="AC89" s="6">
        <f t="shared" si="9"/>
        <v>16.751867872591429</v>
      </c>
      <c r="AD89" s="6">
        <v>17.995593862327521</v>
      </c>
      <c r="AE89" s="6">
        <v>0.28601244540640819</v>
      </c>
      <c r="AF89" s="6">
        <f t="shared" si="10"/>
        <v>18.281606307733931</v>
      </c>
      <c r="AG89" s="6">
        <v>19.706959706959712</v>
      </c>
      <c r="AH89" s="6">
        <v>0.50718512256973791</v>
      </c>
      <c r="AI89" s="6">
        <f t="shared" si="11"/>
        <v>20.214144829529449</v>
      </c>
      <c r="AJ89">
        <v>2.18457736876451</v>
      </c>
      <c r="AK89" s="3">
        <v>155.72379602455501</v>
      </c>
      <c r="AL89">
        <v>200.99121827536001</v>
      </c>
      <c r="AM89">
        <v>129.06904622570789</v>
      </c>
      <c r="AN89">
        <v>5.0380627080973079</v>
      </c>
      <c r="AO89">
        <v>112.16950063905649</v>
      </c>
      <c r="AP89">
        <v>71.228935361374212</v>
      </c>
      <c r="AQ89">
        <v>63.501161149479927</v>
      </c>
      <c r="AR89">
        <v>8.3325248096092768</v>
      </c>
      <c r="AS89">
        <v>208.17637556833779</v>
      </c>
      <c r="AT89">
        <v>232.93739635576659</v>
      </c>
      <c r="AU89">
        <v>111.89425107427741</v>
      </c>
      <c r="AV89">
        <v>15.99473052300899</v>
      </c>
      <c r="AW89">
        <v>144.57605723831861</v>
      </c>
      <c r="AX89">
        <v>86.377756904402148</v>
      </c>
      <c r="AY89">
        <v>59.745547467806112</v>
      </c>
      <c r="AZ89">
        <v>19.043071662463351</v>
      </c>
      <c r="BA89">
        <v>139.44290379720869</v>
      </c>
      <c r="BB89">
        <v>97.035615802465614</v>
      </c>
      <c r="BC89">
        <v>69.588063042336074</v>
      </c>
      <c r="BD89">
        <v>22.215936035131989</v>
      </c>
      <c r="BE89">
        <v>127.520652001977</v>
      </c>
      <c r="BF89">
        <v>75.517737263563674</v>
      </c>
      <c r="BG89">
        <v>59.220005605361003</v>
      </c>
      <c r="BH89">
        <v>0.75511929196304306</v>
      </c>
      <c r="BI89">
        <v>0.1080456892403439</v>
      </c>
      <c r="BJ89">
        <v>0.76262089543791267</v>
      </c>
      <c r="BK89">
        <v>0.1129230297587399</v>
      </c>
      <c r="BL89">
        <v>0.79009446955191465</v>
      </c>
      <c r="BM89">
        <v>0.10326901797210671</v>
      </c>
      <c r="BN89">
        <v>0.80204990300009604</v>
      </c>
      <c r="BO89">
        <v>8.5019051827474101E-2</v>
      </c>
      <c r="BP89">
        <v>0.80101576591973522</v>
      </c>
      <c r="BQ89">
        <v>7.7436384158508301E-2</v>
      </c>
      <c r="BR89">
        <v>0.7958099590146851</v>
      </c>
      <c r="BS89">
        <v>7.9516034783609996E-2</v>
      </c>
    </row>
    <row r="90" spans="1:71" x14ac:dyDescent="0.3">
      <c r="A90" t="s">
        <v>502</v>
      </c>
      <c r="B90" t="s">
        <v>83</v>
      </c>
      <c r="C90" t="s">
        <v>194</v>
      </c>
      <c r="D90" t="s">
        <v>453</v>
      </c>
      <c r="E90" s="2">
        <v>42892</v>
      </c>
      <c r="F90" s="2">
        <v>0.38055555555547471</v>
      </c>
      <c r="G90">
        <v>97</v>
      </c>
      <c r="H90" s="2">
        <v>42920</v>
      </c>
      <c r="I90" s="2">
        <v>0.38333333333503111</v>
      </c>
      <c r="J90" t="s">
        <v>150</v>
      </c>
      <c r="K90">
        <v>114</v>
      </c>
      <c r="L90" t="s">
        <v>510</v>
      </c>
      <c r="M90" t="s">
        <v>123</v>
      </c>
      <c r="N90" t="s">
        <v>511</v>
      </c>
      <c r="O90" t="s">
        <v>512</v>
      </c>
      <c r="P90" t="s">
        <v>513</v>
      </c>
      <c r="Q90" t="s">
        <v>514</v>
      </c>
      <c r="R90">
        <v>8.0139372822299677</v>
      </c>
      <c r="S90">
        <v>0.38714672861014332</v>
      </c>
      <c r="T90" s="6">
        <f t="shared" si="6"/>
        <v>8.4010840108401119</v>
      </c>
      <c r="U90" s="6">
        <v>8.8870836718115349</v>
      </c>
      <c r="V90" s="6">
        <v>0.25995125913891148</v>
      </c>
      <c r="W90" s="6">
        <f t="shared" si="7"/>
        <v>9.1470349309504471</v>
      </c>
      <c r="X90" s="6">
        <v>11.763655837201</v>
      </c>
      <c r="Y90" s="6">
        <v>0.24098536237058199</v>
      </c>
      <c r="Z90" s="6">
        <f t="shared" si="8"/>
        <v>12.004641199571582</v>
      </c>
      <c r="AA90" s="6">
        <v>16.52154373349812</v>
      </c>
      <c r="AB90" s="6">
        <v>0.2303241390933094</v>
      </c>
      <c r="AC90" s="6">
        <f t="shared" si="9"/>
        <v>16.751867872591429</v>
      </c>
      <c r="AD90" s="6">
        <v>17.995593862327521</v>
      </c>
      <c r="AE90" s="6">
        <v>0.28601244540640819</v>
      </c>
      <c r="AF90" s="6">
        <f t="shared" si="10"/>
        <v>18.281606307733931</v>
      </c>
      <c r="AG90" s="6">
        <v>19.706959706959712</v>
      </c>
      <c r="AH90" s="6">
        <v>0.50718512256973791</v>
      </c>
      <c r="AI90" s="6">
        <f t="shared" si="11"/>
        <v>20.214144829529449</v>
      </c>
      <c r="AJ90">
        <v>2.18457736876451</v>
      </c>
      <c r="AK90" s="3">
        <v>155.72379602455501</v>
      </c>
      <c r="AL90">
        <v>200.99121827536001</v>
      </c>
      <c r="AM90">
        <v>129.06904622570789</v>
      </c>
      <c r="AN90">
        <v>5.0380627080973079</v>
      </c>
      <c r="AO90">
        <v>112.16950063905649</v>
      </c>
      <c r="AP90">
        <v>71.228935361374212</v>
      </c>
      <c r="AQ90">
        <v>63.501161149479927</v>
      </c>
      <c r="AR90">
        <v>8.3325248096092768</v>
      </c>
      <c r="AS90">
        <v>208.17637556833779</v>
      </c>
      <c r="AT90">
        <v>232.93739635576659</v>
      </c>
      <c r="AU90">
        <v>111.89425107427741</v>
      </c>
      <c r="AV90">
        <v>15.99473052300899</v>
      </c>
      <c r="AW90">
        <v>144.57605723831861</v>
      </c>
      <c r="AX90">
        <v>86.377756904402148</v>
      </c>
      <c r="AY90">
        <v>59.745547467806112</v>
      </c>
      <c r="AZ90">
        <v>19.043071662463351</v>
      </c>
      <c r="BA90">
        <v>139.44290379720869</v>
      </c>
      <c r="BB90">
        <v>97.035615802465614</v>
      </c>
      <c r="BC90">
        <v>69.588063042336074</v>
      </c>
      <c r="BD90">
        <v>22.215936035131989</v>
      </c>
      <c r="BE90">
        <v>127.520652001977</v>
      </c>
      <c r="BF90">
        <v>75.517737263563674</v>
      </c>
      <c r="BG90">
        <v>59.220005605361003</v>
      </c>
      <c r="BH90">
        <v>0.75511929196304306</v>
      </c>
      <c r="BI90">
        <v>0.1080456892403439</v>
      </c>
      <c r="BJ90">
        <v>0.76262089543791267</v>
      </c>
      <c r="BK90">
        <v>0.1129230297587399</v>
      </c>
      <c r="BL90">
        <v>0.79009446955191465</v>
      </c>
      <c r="BM90">
        <v>0.10326901797210671</v>
      </c>
      <c r="BN90">
        <v>0.80204990300009604</v>
      </c>
      <c r="BO90">
        <v>8.5019051827474101E-2</v>
      </c>
      <c r="BP90">
        <v>0.80101576591973522</v>
      </c>
      <c r="BQ90">
        <v>7.7436384158508301E-2</v>
      </c>
      <c r="BR90">
        <v>0.7958099590146851</v>
      </c>
      <c r="BS90">
        <v>7.9516034783609996E-2</v>
      </c>
    </row>
    <row r="91" spans="1:71" x14ac:dyDescent="0.3">
      <c r="A91" t="s">
        <v>515</v>
      </c>
      <c r="B91" t="s">
        <v>66</v>
      </c>
      <c r="C91" t="s">
        <v>175</v>
      </c>
      <c r="D91" t="s">
        <v>121</v>
      </c>
      <c r="E91" s="2">
        <v>42949</v>
      </c>
      <c r="F91" s="2">
        <v>0.44444444444525288</v>
      </c>
      <c r="G91">
        <v>95</v>
      </c>
      <c r="H91" s="2">
        <v>42979</v>
      </c>
      <c r="I91" s="2">
        <v>0.31944444444525288</v>
      </c>
      <c r="J91" t="s">
        <v>358</v>
      </c>
      <c r="K91">
        <v>184</v>
      </c>
      <c r="L91" t="s">
        <v>70</v>
      </c>
      <c r="M91" t="s">
        <v>226</v>
      </c>
      <c r="N91" t="s">
        <v>516</v>
      </c>
      <c r="O91" t="s">
        <v>517</v>
      </c>
      <c r="P91" t="s">
        <v>518</v>
      </c>
      <c r="Q91" t="s">
        <v>519</v>
      </c>
      <c r="R91">
        <v>11.36363636363636</v>
      </c>
      <c r="S91">
        <v>5.3929121725731886</v>
      </c>
      <c r="T91" s="6">
        <f t="shared" si="6"/>
        <v>16.75654853620955</v>
      </c>
      <c r="U91" s="6">
        <v>12.10097719869707</v>
      </c>
      <c r="V91" s="6">
        <v>3.583061889250815</v>
      </c>
      <c r="W91" s="6">
        <f t="shared" si="7"/>
        <v>15.684039087947884</v>
      </c>
      <c r="X91" s="6">
        <v>14.438407410706329</v>
      </c>
      <c r="Y91" s="6">
        <v>2.7968290727709979</v>
      </c>
      <c r="Z91" s="6">
        <f t="shared" si="8"/>
        <v>17.235236483477326</v>
      </c>
      <c r="AA91" s="6">
        <v>16.199044138318801</v>
      </c>
      <c r="AB91" s="6">
        <v>3.041889232499297</v>
      </c>
      <c r="AC91" s="6">
        <f t="shared" si="9"/>
        <v>19.240933370818098</v>
      </c>
      <c r="AD91" s="6">
        <v>19.137924375265531</v>
      </c>
      <c r="AE91" s="6">
        <v>2.8504113398478239</v>
      </c>
      <c r="AF91" s="6">
        <f t="shared" si="10"/>
        <v>21.988335715113354</v>
      </c>
      <c r="AG91" s="6">
        <v>22.362453165056198</v>
      </c>
      <c r="AH91" s="6">
        <v>2.4762655999098522</v>
      </c>
      <c r="AI91" s="6">
        <f t="shared" si="11"/>
        <v>24.83871876496605</v>
      </c>
      <c r="AJ91">
        <v>4.3792219143424314</v>
      </c>
      <c r="AK91" s="3">
        <v>254.90950370971299</v>
      </c>
      <c r="AL91">
        <v>158.93295753125591</v>
      </c>
      <c r="AM91">
        <v>62.348776808355588</v>
      </c>
      <c r="AN91">
        <v>4.5622076576198713</v>
      </c>
      <c r="AO91">
        <v>173.573095984795</v>
      </c>
      <c r="AP91">
        <v>101.3486395720555</v>
      </c>
      <c r="AQ91">
        <v>58.389601796889998</v>
      </c>
      <c r="AR91">
        <v>6.7756476995536623</v>
      </c>
      <c r="AS91">
        <v>191.97754495692101</v>
      </c>
      <c r="AT91">
        <v>138.96001070902111</v>
      </c>
      <c r="AU91">
        <v>72.383471066995469</v>
      </c>
      <c r="AV91">
        <v>9.5006377607414105</v>
      </c>
      <c r="AW91">
        <v>207.1813683335819</v>
      </c>
      <c r="AX91">
        <v>180.7932911200964</v>
      </c>
      <c r="AY91">
        <v>87.26329619997577</v>
      </c>
      <c r="AZ91">
        <v>11.75639745752007</v>
      </c>
      <c r="BA91">
        <v>213.16857876012571</v>
      </c>
      <c r="BB91">
        <v>158.9137654747943</v>
      </c>
      <c r="BC91">
        <v>74.548400331371909</v>
      </c>
      <c r="BD91">
        <v>16.861082996307822</v>
      </c>
      <c r="BE91">
        <v>215.02321877731359</v>
      </c>
      <c r="BF91">
        <v>155.55633103269969</v>
      </c>
      <c r="BG91">
        <v>72.34396913842123</v>
      </c>
      <c r="BH91">
        <v>0.76258298921076406</v>
      </c>
      <c r="BI91">
        <v>0.12446480816252389</v>
      </c>
      <c r="BJ91">
        <v>0.76794750167391324</v>
      </c>
      <c r="BK91">
        <v>0.11031032228610541</v>
      </c>
      <c r="BL91">
        <v>0.78079325700855073</v>
      </c>
      <c r="BM91">
        <v>9.6096949410676799E-2</v>
      </c>
      <c r="BN91">
        <v>0.78529282276733758</v>
      </c>
      <c r="BO91">
        <v>8.8945670935947893E-2</v>
      </c>
      <c r="BP91">
        <v>0.78297890120918212</v>
      </c>
      <c r="BQ91">
        <v>8.9586613548207197E-2</v>
      </c>
      <c r="BR91">
        <v>0.78429332850405553</v>
      </c>
      <c r="BS91">
        <v>8.2602063020671398E-2</v>
      </c>
    </row>
    <row r="92" spans="1:71" x14ac:dyDescent="0.3">
      <c r="A92" t="s">
        <v>515</v>
      </c>
      <c r="B92" t="s">
        <v>76</v>
      </c>
      <c r="C92" t="s">
        <v>309</v>
      </c>
      <c r="D92" t="s">
        <v>465</v>
      </c>
      <c r="E92" s="2">
        <v>42949</v>
      </c>
      <c r="F92" s="2">
        <v>0.56666666666569654</v>
      </c>
      <c r="G92">
        <v>95</v>
      </c>
      <c r="H92" s="2">
        <v>42979</v>
      </c>
      <c r="I92" s="2">
        <v>0.32708333333357592</v>
      </c>
      <c r="J92" t="s">
        <v>144</v>
      </c>
      <c r="K92">
        <v>139</v>
      </c>
      <c r="L92" t="s">
        <v>177</v>
      </c>
      <c r="M92" t="s">
        <v>184</v>
      </c>
      <c r="N92" t="s">
        <v>520</v>
      </c>
      <c r="O92" t="s">
        <v>521</v>
      </c>
      <c r="P92" t="s">
        <v>522</v>
      </c>
      <c r="Q92" t="s">
        <v>523</v>
      </c>
      <c r="R92">
        <v>11.36363636363636</v>
      </c>
      <c r="S92">
        <v>5.3929121725731886</v>
      </c>
      <c r="T92" s="6">
        <f t="shared" si="6"/>
        <v>16.75654853620955</v>
      </c>
      <c r="U92" s="6">
        <v>12.10097719869707</v>
      </c>
      <c r="V92" s="6">
        <v>3.583061889250815</v>
      </c>
      <c r="W92" s="6">
        <f t="shared" si="7"/>
        <v>15.684039087947884</v>
      </c>
      <c r="X92" s="6">
        <v>14.438407410706329</v>
      </c>
      <c r="Y92" s="6">
        <v>2.7968290727709979</v>
      </c>
      <c r="Z92" s="6">
        <f t="shared" si="8"/>
        <v>17.235236483477326</v>
      </c>
      <c r="AA92" s="6">
        <v>16.199044138318801</v>
      </c>
      <c r="AB92" s="6">
        <v>3.041889232499297</v>
      </c>
      <c r="AC92" s="6">
        <f t="shared" si="9"/>
        <v>19.240933370818098</v>
      </c>
      <c r="AD92" s="6">
        <v>19.137924375265531</v>
      </c>
      <c r="AE92" s="6">
        <v>2.8504113398478239</v>
      </c>
      <c r="AF92" s="6">
        <f t="shared" si="10"/>
        <v>21.988335715113354</v>
      </c>
      <c r="AG92" s="6">
        <v>22.362453165056198</v>
      </c>
      <c r="AH92" s="6">
        <v>2.4762655999098522</v>
      </c>
      <c r="AI92" s="6">
        <f t="shared" si="11"/>
        <v>24.83871876496605</v>
      </c>
      <c r="AJ92">
        <v>4.3792219143424314</v>
      </c>
      <c r="AK92" s="3">
        <v>254.90950370971299</v>
      </c>
      <c r="AL92">
        <v>158.93295753125591</v>
      </c>
      <c r="AM92">
        <v>62.348776808355588</v>
      </c>
      <c r="AN92">
        <v>4.5622076576198713</v>
      </c>
      <c r="AO92">
        <v>173.573095984795</v>
      </c>
      <c r="AP92">
        <v>101.3486395720555</v>
      </c>
      <c r="AQ92">
        <v>58.389601796889998</v>
      </c>
      <c r="AR92">
        <v>6.7756476995536623</v>
      </c>
      <c r="AS92">
        <v>191.97754495692101</v>
      </c>
      <c r="AT92">
        <v>138.96001070902111</v>
      </c>
      <c r="AU92">
        <v>72.383471066995469</v>
      </c>
      <c r="AV92">
        <v>9.5006377607414105</v>
      </c>
      <c r="AW92">
        <v>207.1813683335819</v>
      </c>
      <c r="AX92">
        <v>180.7932911200964</v>
      </c>
      <c r="AY92">
        <v>87.26329619997577</v>
      </c>
      <c r="AZ92">
        <v>11.75639745752007</v>
      </c>
      <c r="BA92">
        <v>213.16857876012571</v>
      </c>
      <c r="BB92">
        <v>158.9137654747943</v>
      </c>
      <c r="BC92">
        <v>74.548400331371909</v>
      </c>
      <c r="BD92">
        <v>16.861082996307822</v>
      </c>
      <c r="BE92">
        <v>215.02321877731359</v>
      </c>
      <c r="BF92">
        <v>155.55633103269969</v>
      </c>
      <c r="BG92">
        <v>72.34396913842123</v>
      </c>
      <c r="BH92">
        <v>0.76258298921076406</v>
      </c>
      <c r="BI92">
        <v>0.12446480816252389</v>
      </c>
      <c r="BJ92">
        <v>0.76794750167391324</v>
      </c>
      <c r="BK92">
        <v>0.11031032228610541</v>
      </c>
      <c r="BL92">
        <v>0.78079325700855073</v>
      </c>
      <c r="BM92">
        <v>9.6096949410676799E-2</v>
      </c>
      <c r="BN92">
        <v>0.78529282276733758</v>
      </c>
      <c r="BO92">
        <v>8.8945670935947893E-2</v>
      </c>
      <c r="BP92">
        <v>0.78297890120918212</v>
      </c>
      <c r="BQ92">
        <v>8.9586613548207197E-2</v>
      </c>
      <c r="BR92">
        <v>0.78429332850405553</v>
      </c>
      <c r="BS92">
        <v>8.2602063020671398E-2</v>
      </c>
    </row>
    <row r="93" spans="1:71" x14ac:dyDescent="0.3">
      <c r="A93" t="s">
        <v>515</v>
      </c>
      <c r="B93" t="s">
        <v>83</v>
      </c>
      <c r="C93" t="s">
        <v>376</v>
      </c>
      <c r="D93" t="s">
        <v>310</v>
      </c>
      <c r="E93" s="2">
        <v>42949</v>
      </c>
      <c r="F93" s="2">
        <v>0.65833333333284827</v>
      </c>
      <c r="G93">
        <v>94</v>
      </c>
      <c r="H93" s="2">
        <v>42979</v>
      </c>
      <c r="I93" s="2">
        <v>0.30625000000145519</v>
      </c>
      <c r="J93" t="s">
        <v>144</v>
      </c>
      <c r="K93">
        <v>171</v>
      </c>
      <c r="L93" t="s">
        <v>70</v>
      </c>
      <c r="M93" t="s">
        <v>88</v>
      </c>
      <c r="N93" t="s">
        <v>524</v>
      </c>
      <c r="O93" t="s">
        <v>525</v>
      </c>
      <c r="P93" t="s">
        <v>526</v>
      </c>
      <c r="Q93" t="s">
        <v>527</v>
      </c>
      <c r="R93">
        <v>11.36363636363636</v>
      </c>
      <c r="S93">
        <v>5.3929121725731886</v>
      </c>
      <c r="T93" s="6">
        <f t="shared" si="6"/>
        <v>16.75654853620955</v>
      </c>
      <c r="U93" s="6">
        <v>12.10097719869707</v>
      </c>
      <c r="V93" s="6">
        <v>3.583061889250815</v>
      </c>
      <c r="W93" s="6">
        <f t="shared" si="7"/>
        <v>15.684039087947884</v>
      </c>
      <c r="X93" s="6">
        <v>14.438407410706329</v>
      </c>
      <c r="Y93" s="6">
        <v>2.7968290727709979</v>
      </c>
      <c r="Z93" s="6">
        <f t="shared" si="8"/>
        <v>17.235236483477326</v>
      </c>
      <c r="AA93" s="6">
        <v>16.199044138318801</v>
      </c>
      <c r="AB93" s="6">
        <v>3.041889232499297</v>
      </c>
      <c r="AC93" s="6">
        <f t="shared" si="9"/>
        <v>19.240933370818098</v>
      </c>
      <c r="AD93" s="6">
        <v>19.137924375265531</v>
      </c>
      <c r="AE93" s="6">
        <v>2.8504113398478239</v>
      </c>
      <c r="AF93" s="6">
        <f t="shared" si="10"/>
        <v>21.988335715113354</v>
      </c>
      <c r="AG93" s="6">
        <v>22.362453165056198</v>
      </c>
      <c r="AH93" s="6">
        <v>2.4762655999098522</v>
      </c>
      <c r="AI93" s="6">
        <f t="shared" si="11"/>
        <v>24.83871876496605</v>
      </c>
      <c r="AJ93">
        <v>4.3792219143424314</v>
      </c>
      <c r="AK93" s="3">
        <v>254.90950370971299</v>
      </c>
      <c r="AL93">
        <v>158.93295753125591</v>
      </c>
      <c r="AM93">
        <v>62.348776808355588</v>
      </c>
      <c r="AN93">
        <v>4.5622076576198713</v>
      </c>
      <c r="AO93">
        <v>173.573095984795</v>
      </c>
      <c r="AP93">
        <v>101.3486395720555</v>
      </c>
      <c r="AQ93">
        <v>58.389601796889998</v>
      </c>
      <c r="AR93">
        <v>6.7756476995536623</v>
      </c>
      <c r="AS93">
        <v>191.97754495692101</v>
      </c>
      <c r="AT93">
        <v>138.96001070902111</v>
      </c>
      <c r="AU93">
        <v>72.383471066995469</v>
      </c>
      <c r="AV93">
        <v>9.5006377607414105</v>
      </c>
      <c r="AW93">
        <v>207.1813683335819</v>
      </c>
      <c r="AX93">
        <v>180.7932911200964</v>
      </c>
      <c r="AY93">
        <v>87.26329619997577</v>
      </c>
      <c r="AZ93">
        <v>11.75639745752007</v>
      </c>
      <c r="BA93">
        <v>213.16857876012571</v>
      </c>
      <c r="BB93">
        <v>158.9137654747943</v>
      </c>
      <c r="BC93">
        <v>74.548400331371909</v>
      </c>
      <c r="BD93">
        <v>16.861082996307822</v>
      </c>
      <c r="BE93">
        <v>215.02321877731359</v>
      </c>
      <c r="BF93">
        <v>155.55633103269969</v>
      </c>
      <c r="BG93">
        <v>72.34396913842123</v>
      </c>
      <c r="BH93">
        <v>0.76258298921076406</v>
      </c>
      <c r="BI93">
        <v>0.12446480816252389</v>
      </c>
      <c r="BJ93">
        <v>0.76794750167391324</v>
      </c>
      <c r="BK93">
        <v>0.11031032228610541</v>
      </c>
      <c r="BL93">
        <v>0.78079325700855073</v>
      </c>
      <c r="BM93">
        <v>9.6096949410676799E-2</v>
      </c>
      <c r="BN93">
        <v>0.78529282276733758</v>
      </c>
      <c r="BO93">
        <v>8.8945670935947893E-2</v>
      </c>
      <c r="BP93">
        <v>0.78297890120918212</v>
      </c>
      <c r="BQ93">
        <v>8.9586613548207197E-2</v>
      </c>
      <c r="BR93">
        <v>0.78429332850405553</v>
      </c>
      <c r="BS93">
        <v>8.2602063020671398E-2</v>
      </c>
    </row>
    <row r="94" spans="1:71" x14ac:dyDescent="0.3">
      <c r="A94" t="s">
        <v>528</v>
      </c>
      <c r="B94" t="s">
        <v>66</v>
      </c>
      <c r="C94" t="s">
        <v>218</v>
      </c>
      <c r="D94" t="s">
        <v>420</v>
      </c>
      <c r="E94" s="2">
        <v>43224</v>
      </c>
      <c r="F94" s="2">
        <v>0.40625</v>
      </c>
      <c r="G94">
        <v>98</v>
      </c>
      <c r="H94" s="2">
        <v>43257</v>
      </c>
      <c r="I94" s="2">
        <v>0.7062499999992724</v>
      </c>
      <c r="J94" t="s">
        <v>144</v>
      </c>
      <c r="K94">
        <v>130</v>
      </c>
      <c r="L94" t="s">
        <v>157</v>
      </c>
      <c r="M94" t="s">
        <v>529</v>
      </c>
      <c r="N94" t="s">
        <v>530</v>
      </c>
      <c r="O94" t="s">
        <v>531</v>
      </c>
      <c r="P94" t="s">
        <v>532</v>
      </c>
      <c r="R94">
        <v>23.660886319845851</v>
      </c>
      <c r="S94">
        <v>0</v>
      </c>
      <c r="T94" s="6">
        <f t="shared" si="6"/>
        <v>23.660886319845851</v>
      </c>
      <c r="U94" s="6">
        <v>23.724406889827751</v>
      </c>
      <c r="V94" s="6">
        <v>0</v>
      </c>
      <c r="W94" s="6">
        <f t="shared" si="7"/>
        <v>23.724406889827751</v>
      </c>
      <c r="X94" s="6">
        <v>24.186792620978519</v>
      </c>
      <c r="Y94" s="6">
        <v>0</v>
      </c>
      <c r="Z94" s="6">
        <f t="shared" si="8"/>
        <v>24.186792620978519</v>
      </c>
      <c r="AA94" s="6">
        <v>24.473403358984442</v>
      </c>
      <c r="AB94" s="6">
        <v>0</v>
      </c>
      <c r="AC94" s="6">
        <f t="shared" si="9"/>
        <v>24.473403358984442</v>
      </c>
      <c r="AD94" s="6">
        <v>24.39363509964468</v>
      </c>
      <c r="AE94" s="6">
        <v>0</v>
      </c>
      <c r="AF94" s="6">
        <f t="shared" si="10"/>
        <v>24.39363509964468</v>
      </c>
      <c r="AG94" s="6">
        <v>25.278317972999631</v>
      </c>
      <c r="AH94" s="6">
        <v>0</v>
      </c>
      <c r="AI94" s="6">
        <f t="shared" si="11"/>
        <v>25.278317972999631</v>
      </c>
      <c r="AJ94">
        <v>4.9449972513219356</v>
      </c>
      <c r="AK94" s="3">
        <v>116.6930759525484</v>
      </c>
      <c r="AL94">
        <v>67.502734252268667</v>
      </c>
      <c r="AM94">
        <v>57.846392085609011</v>
      </c>
      <c r="AN94">
        <v>5.1158766351665381</v>
      </c>
      <c r="AO94">
        <v>105.25290736256041</v>
      </c>
      <c r="AP94">
        <v>65.060676930769517</v>
      </c>
      <c r="AQ94">
        <v>61.813662502127073</v>
      </c>
      <c r="AR94">
        <v>7.0509207418778432</v>
      </c>
      <c r="AS94">
        <v>115.8471048476153</v>
      </c>
      <c r="AT94">
        <v>65.829721675187727</v>
      </c>
      <c r="AU94">
        <v>56.824658468400933</v>
      </c>
      <c r="AV94">
        <v>7.1579681677563531</v>
      </c>
      <c r="AW94">
        <v>112.62702410065781</v>
      </c>
      <c r="AX94">
        <v>73.758132570775402</v>
      </c>
      <c r="AY94">
        <v>65.488840853022765</v>
      </c>
      <c r="AZ94">
        <v>8.2005273845743236</v>
      </c>
      <c r="BA94">
        <v>128.2133482762155</v>
      </c>
      <c r="BB94">
        <v>77.122953481162838</v>
      </c>
      <c r="BC94">
        <v>60.152046973310128</v>
      </c>
      <c r="BD94">
        <v>7.6044274548881372</v>
      </c>
      <c r="BE94">
        <v>127.9384983684446</v>
      </c>
      <c r="BF94">
        <v>90.419811020219228</v>
      </c>
      <c r="BG94">
        <v>70.6744351178979</v>
      </c>
      <c r="BH94">
        <v>0.84698303444382728</v>
      </c>
      <c r="BI94">
        <v>7.1468084905687096E-2</v>
      </c>
      <c r="BJ94">
        <v>0.84156462930062481</v>
      </c>
      <c r="BK94">
        <v>7.0819273668322802E-2</v>
      </c>
      <c r="BL94">
        <v>0.84432042174650834</v>
      </c>
      <c r="BM94">
        <v>6.6797497659739594E-2</v>
      </c>
      <c r="BN94">
        <v>0.84314016509125556</v>
      </c>
      <c r="BO94">
        <v>6.7515238590207499E-2</v>
      </c>
      <c r="BP94">
        <v>0.84305323668218712</v>
      </c>
      <c r="BQ94">
        <v>7.0988028093732503E-2</v>
      </c>
      <c r="BR94">
        <v>0.84568354255667433</v>
      </c>
      <c r="BS94">
        <v>6.7553967079691996E-2</v>
      </c>
    </row>
    <row r="95" spans="1:71" x14ac:dyDescent="0.3">
      <c r="A95" t="s">
        <v>528</v>
      </c>
      <c r="B95" t="s">
        <v>76</v>
      </c>
      <c r="C95" t="s">
        <v>303</v>
      </c>
      <c r="D95" t="s">
        <v>415</v>
      </c>
      <c r="E95" s="2">
        <v>43224</v>
      </c>
      <c r="F95" s="2">
        <v>0.44097222222262639</v>
      </c>
      <c r="G95">
        <v>95</v>
      </c>
      <c r="H95" s="2">
        <v>43257</v>
      </c>
      <c r="I95" s="2">
        <v>0.72708333333503106</v>
      </c>
      <c r="J95" t="s">
        <v>242</v>
      </c>
      <c r="K95">
        <v>198</v>
      </c>
      <c r="L95" t="s">
        <v>157</v>
      </c>
      <c r="M95" t="s">
        <v>529</v>
      </c>
      <c r="N95" t="s">
        <v>533</v>
      </c>
      <c r="O95" t="s">
        <v>534</v>
      </c>
      <c r="P95" t="s">
        <v>535</v>
      </c>
      <c r="R95">
        <v>23.660886319845851</v>
      </c>
      <c r="S95">
        <v>0</v>
      </c>
      <c r="T95" s="6">
        <f t="shared" si="6"/>
        <v>23.660886319845851</v>
      </c>
      <c r="U95" s="6">
        <v>23.724406889827751</v>
      </c>
      <c r="V95" s="6">
        <v>0</v>
      </c>
      <c r="W95" s="6">
        <f t="shared" si="7"/>
        <v>23.724406889827751</v>
      </c>
      <c r="X95" s="6">
        <v>24.186792620978519</v>
      </c>
      <c r="Y95" s="6">
        <v>0</v>
      </c>
      <c r="Z95" s="6">
        <f t="shared" si="8"/>
        <v>24.186792620978519</v>
      </c>
      <c r="AA95" s="6">
        <v>24.473403358984442</v>
      </c>
      <c r="AB95" s="6">
        <v>0</v>
      </c>
      <c r="AC95" s="6">
        <f t="shared" si="9"/>
        <v>24.473403358984442</v>
      </c>
      <c r="AD95" s="6">
        <v>24.39363509964468</v>
      </c>
      <c r="AE95" s="6">
        <v>0</v>
      </c>
      <c r="AF95" s="6">
        <f t="shared" si="10"/>
        <v>24.39363509964468</v>
      </c>
      <c r="AG95" s="6">
        <v>25.278317972999631</v>
      </c>
      <c r="AH95" s="6">
        <v>0</v>
      </c>
      <c r="AI95" s="6">
        <f t="shared" si="11"/>
        <v>25.278317972999631</v>
      </c>
      <c r="AJ95">
        <v>4.9449972513219356</v>
      </c>
      <c r="AK95" s="3">
        <v>116.6930759525484</v>
      </c>
      <c r="AL95">
        <v>67.502734252268667</v>
      </c>
      <c r="AM95">
        <v>57.846392085609011</v>
      </c>
      <c r="AN95">
        <v>5.1158766351665381</v>
      </c>
      <c r="AO95">
        <v>105.25290736256041</v>
      </c>
      <c r="AP95">
        <v>65.060676930769517</v>
      </c>
      <c r="AQ95">
        <v>61.813662502127073</v>
      </c>
      <c r="AR95">
        <v>7.0509207418778432</v>
      </c>
      <c r="AS95">
        <v>115.8471048476153</v>
      </c>
      <c r="AT95">
        <v>65.829721675187727</v>
      </c>
      <c r="AU95">
        <v>56.824658468400933</v>
      </c>
      <c r="AV95">
        <v>7.1579681677563531</v>
      </c>
      <c r="AW95">
        <v>112.62702410065781</v>
      </c>
      <c r="AX95">
        <v>73.758132570775402</v>
      </c>
      <c r="AY95">
        <v>65.488840853022765</v>
      </c>
      <c r="AZ95">
        <v>8.2005273845743236</v>
      </c>
      <c r="BA95">
        <v>128.2133482762155</v>
      </c>
      <c r="BB95">
        <v>77.122953481162838</v>
      </c>
      <c r="BC95">
        <v>60.152046973310128</v>
      </c>
      <c r="BD95">
        <v>7.6044274548881372</v>
      </c>
      <c r="BE95">
        <v>127.9384983684446</v>
      </c>
      <c r="BF95">
        <v>90.419811020219228</v>
      </c>
      <c r="BG95">
        <v>70.6744351178979</v>
      </c>
      <c r="BH95">
        <v>0.84698303444382728</v>
      </c>
      <c r="BI95">
        <v>7.1468084905687096E-2</v>
      </c>
      <c r="BJ95">
        <v>0.84156462930062481</v>
      </c>
      <c r="BK95">
        <v>7.0819273668322802E-2</v>
      </c>
      <c r="BL95">
        <v>0.84432042174650834</v>
      </c>
      <c r="BM95">
        <v>6.6797497659739594E-2</v>
      </c>
      <c r="BN95">
        <v>0.84314016509125556</v>
      </c>
      <c r="BO95">
        <v>6.7515238590207499E-2</v>
      </c>
      <c r="BP95">
        <v>0.84305323668218712</v>
      </c>
      <c r="BQ95">
        <v>7.0988028093732503E-2</v>
      </c>
      <c r="BR95">
        <v>0.84568354255667433</v>
      </c>
      <c r="BS95">
        <v>6.7553967079691996E-2</v>
      </c>
    </row>
    <row r="96" spans="1:71" x14ac:dyDescent="0.3">
      <c r="A96" t="s">
        <v>528</v>
      </c>
      <c r="B96" t="s">
        <v>83</v>
      </c>
      <c r="C96" t="s">
        <v>266</v>
      </c>
      <c r="D96" t="s">
        <v>282</v>
      </c>
      <c r="E96" s="2">
        <v>43224</v>
      </c>
      <c r="F96" s="2">
        <v>0.53819444444525288</v>
      </c>
      <c r="G96">
        <v>99</v>
      </c>
      <c r="H96" s="2">
        <v>43257</v>
      </c>
      <c r="I96" s="2">
        <v>0.75208333333284827</v>
      </c>
      <c r="J96" t="s">
        <v>358</v>
      </c>
      <c r="K96">
        <v>173</v>
      </c>
      <c r="L96" t="s">
        <v>157</v>
      </c>
      <c r="M96" t="s">
        <v>529</v>
      </c>
      <c r="N96" t="s">
        <v>536</v>
      </c>
      <c r="O96" t="s">
        <v>537</v>
      </c>
      <c r="P96" t="s">
        <v>538</v>
      </c>
      <c r="R96">
        <v>23.660886319845851</v>
      </c>
      <c r="S96">
        <v>0</v>
      </c>
      <c r="T96" s="6">
        <f t="shared" si="6"/>
        <v>23.660886319845851</v>
      </c>
      <c r="U96" s="6">
        <v>23.724406889827751</v>
      </c>
      <c r="V96" s="6">
        <v>0</v>
      </c>
      <c r="W96" s="6">
        <f t="shared" si="7"/>
        <v>23.724406889827751</v>
      </c>
      <c r="X96" s="6">
        <v>24.186792620978519</v>
      </c>
      <c r="Y96" s="6">
        <v>0</v>
      </c>
      <c r="Z96" s="6">
        <f t="shared" si="8"/>
        <v>24.186792620978519</v>
      </c>
      <c r="AA96" s="6">
        <v>24.473403358984442</v>
      </c>
      <c r="AB96" s="6">
        <v>0</v>
      </c>
      <c r="AC96" s="6">
        <f t="shared" si="9"/>
        <v>24.473403358984442</v>
      </c>
      <c r="AD96" s="6">
        <v>24.39363509964468</v>
      </c>
      <c r="AE96" s="6">
        <v>0</v>
      </c>
      <c r="AF96" s="6">
        <f t="shared" si="10"/>
        <v>24.39363509964468</v>
      </c>
      <c r="AG96" s="6">
        <v>25.278317972999631</v>
      </c>
      <c r="AH96" s="6">
        <v>0</v>
      </c>
      <c r="AI96" s="6">
        <f t="shared" si="11"/>
        <v>25.278317972999631</v>
      </c>
      <c r="AJ96">
        <v>4.9449972513219356</v>
      </c>
      <c r="AK96" s="3">
        <v>116.6930759525484</v>
      </c>
      <c r="AL96">
        <v>67.502734252268667</v>
      </c>
      <c r="AM96">
        <v>57.846392085609011</v>
      </c>
      <c r="AN96">
        <v>5.1158766351665381</v>
      </c>
      <c r="AO96">
        <v>105.25290736256041</v>
      </c>
      <c r="AP96">
        <v>65.060676930769517</v>
      </c>
      <c r="AQ96">
        <v>61.813662502127073</v>
      </c>
      <c r="AR96">
        <v>7.0509207418778432</v>
      </c>
      <c r="AS96">
        <v>115.8471048476153</v>
      </c>
      <c r="AT96">
        <v>65.829721675187727</v>
      </c>
      <c r="AU96">
        <v>56.824658468400933</v>
      </c>
      <c r="AV96">
        <v>7.1579681677563531</v>
      </c>
      <c r="AW96">
        <v>112.62702410065781</v>
      </c>
      <c r="AX96">
        <v>73.758132570775402</v>
      </c>
      <c r="AY96">
        <v>65.488840853022765</v>
      </c>
      <c r="AZ96">
        <v>8.2005273845743236</v>
      </c>
      <c r="BA96">
        <v>128.2133482762155</v>
      </c>
      <c r="BB96">
        <v>77.122953481162838</v>
      </c>
      <c r="BC96">
        <v>60.152046973310128</v>
      </c>
      <c r="BD96">
        <v>7.6044274548881372</v>
      </c>
      <c r="BE96">
        <v>127.9384983684446</v>
      </c>
      <c r="BF96">
        <v>90.419811020219228</v>
      </c>
      <c r="BG96">
        <v>70.6744351178979</v>
      </c>
      <c r="BH96">
        <v>0.84698303444382728</v>
      </c>
      <c r="BI96">
        <v>7.1468084905687096E-2</v>
      </c>
      <c r="BJ96">
        <v>0.84156462930062481</v>
      </c>
      <c r="BK96">
        <v>7.0819273668322802E-2</v>
      </c>
      <c r="BL96">
        <v>0.84432042174650834</v>
      </c>
      <c r="BM96">
        <v>6.6797497659739594E-2</v>
      </c>
      <c r="BN96">
        <v>0.84314016509125556</v>
      </c>
      <c r="BO96">
        <v>6.7515238590207499E-2</v>
      </c>
      <c r="BP96">
        <v>0.84305323668218712</v>
      </c>
      <c r="BQ96">
        <v>7.0988028093732503E-2</v>
      </c>
      <c r="BR96">
        <v>0.84568354255667433</v>
      </c>
      <c r="BS96">
        <v>6.7553967079691996E-2</v>
      </c>
    </row>
    <row r="97" spans="1:71" x14ac:dyDescent="0.3">
      <c r="A97" t="s">
        <v>539</v>
      </c>
      <c r="B97" t="s">
        <v>66</v>
      </c>
      <c r="C97" t="s">
        <v>540</v>
      </c>
      <c r="D97" t="s">
        <v>293</v>
      </c>
      <c r="E97" s="2">
        <v>43353</v>
      </c>
      <c r="F97" s="2">
        <v>0.48472222222335398</v>
      </c>
      <c r="G97">
        <v>97</v>
      </c>
      <c r="H97" s="2">
        <v>43397</v>
      </c>
      <c r="I97" s="2">
        <v>0.35277777777810121</v>
      </c>
      <c r="J97" t="s">
        <v>96</v>
      </c>
      <c r="K97">
        <v>372</v>
      </c>
      <c r="L97" t="s">
        <v>97</v>
      </c>
      <c r="M97" t="s">
        <v>123</v>
      </c>
      <c r="N97" t="s">
        <v>541</v>
      </c>
      <c r="O97" t="s">
        <v>542</v>
      </c>
      <c r="P97" t="s">
        <v>543</v>
      </c>
      <c r="R97">
        <v>13.93916056988833</v>
      </c>
      <c r="S97">
        <v>0.9241432422025414</v>
      </c>
      <c r="T97" s="6">
        <f t="shared" si="6"/>
        <v>14.863303812090871</v>
      </c>
      <c r="U97" s="6">
        <v>16.78037686809617</v>
      </c>
      <c r="V97" s="6">
        <v>0.38986354775828458</v>
      </c>
      <c r="W97" s="6">
        <f t="shared" si="7"/>
        <v>17.170240415854455</v>
      </c>
      <c r="X97" s="6">
        <v>15.83214540270848</v>
      </c>
      <c r="Y97" s="6">
        <v>0.68602993585174632</v>
      </c>
      <c r="Z97" s="6">
        <f t="shared" si="8"/>
        <v>16.518175338560226</v>
      </c>
      <c r="AA97" s="6">
        <v>16.71252878081653</v>
      </c>
      <c r="AB97" s="6">
        <v>3.1055203010052228</v>
      </c>
      <c r="AC97" s="6">
        <f t="shared" si="9"/>
        <v>19.818049081821755</v>
      </c>
      <c r="AD97" s="6">
        <v>21.325403568394229</v>
      </c>
      <c r="AE97" s="6">
        <v>4.5686259365103892</v>
      </c>
      <c r="AF97" s="6">
        <f t="shared" si="10"/>
        <v>25.894029504904619</v>
      </c>
      <c r="AG97" s="6">
        <v>20.97787797660984</v>
      </c>
      <c r="AH97" s="6">
        <v>4.3764971114555449</v>
      </c>
      <c r="AI97" s="6">
        <f t="shared" si="11"/>
        <v>25.354375088065385</v>
      </c>
      <c r="AJ97">
        <v>5.1812403339053814</v>
      </c>
      <c r="AK97" s="3">
        <v>130.79213012500489</v>
      </c>
      <c r="AL97">
        <v>99.575323872179212</v>
      </c>
      <c r="AM97">
        <v>76.132504132328023</v>
      </c>
      <c r="AN97">
        <v>12.16114959201267</v>
      </c>
      <c r="AO97">
        <v>157.51435866615651</v>
      </c>
      <c r="AP97">
        <v>130.74652289260169</v>
      </c>
      <c r="AQ97">
        <v>83.006097983557254</v>
      </c>
      <c r="AR97">
        <v>13.57421513762767</v>
      </c>
      <c r="AS97">
        <v>241.53366912678541</v>
      </c>
      <c r="AT97">
        <v>346.43426842508791</v>
      </c>
      <c r="AU97">
        <v>143.4310461467127</v>
      </c>
      <c r="AV97">
        <v>14.954526232355519</v>
      </c>
      <c r="AW97">
        <v>173.88088699721149</v>
      </c>
      <c r="AX97">
        <v>171.15540959359819</v>
      </c>
      <c r="AY97">
        <v>98.432560673757635</v>
      </c>
      <c r="AZ97">
        <v>23.46790226480989</v>
      </c>
      <c r="BA97">
        <v>175.1658586061171</v>
      </c>
      <c r="BB97">
        <v>105.2756819583352</v>
      </c>
      <c r="BC97">
        <v>60.100571421889427</v>
      </c>
      <c r="BD97">
        <v>21.957427830493149</v>
      </c>
      <c r="BE97">
        <v>145.66653500476659</v>
      </c>
      <c r="BF97">
        <v>98.636251806369074</v>
      </c>
      <c r="BG97">
        <v>67.713735212512233</v>
      </c>
      <c r="BH97">
        <v>0.80321797250595683</v>
      </c>
      <c r="BI97">
        <v>0.107249719320569</v>
      </c>
      <c r="BJ97">
        <v>0.82531336404018885</v>
      </c>
      <c r="BK97">
        <v>9.3128585416321893E-2</v>
      </c>
      <c r="BL97">
        <v>0.82748833486819573</v>
      </c>
      <c r="BM97">
        <v>8.2272908686078505E-2</v>
      </c>
      <c r="BN97">
        <v>0.80732966736661949</v>
      </c>
      <c r="BO97">
        <v>9.8426178513119397E-2</v>
      </c>
      <c r="BP97">
        <v>0.80396612560202485</v>
      </c>
      <c r="BQ97">
        <v>9.7234874711518204E-2</v>
      </c>
      <c r="BR97">
        <v>0.80281893330487419</v>
      </c>
      <c r="BS97">
        <v>9.6078935770592802E-2</v>
      </c>
    </row>
    <row r="98" spans="1:71" x14ac:dyDescent="0.3">
      <c r="A98" t="s">
        <v>539</v>
      </c>
      <c r="B98" t="s">
        <v>76</v>
      </c>
      <c r="C98" t="s">
        <v>544</v>
      </c>
      <c r="D98" t="s">
        <v>297</v>
      </c>
      <c r="E98" s="2">
        <v>43353</v>
      </c>
      <c r="F98" s="2">
        <v>0.52569444444452529</v>
      </c>
      <c r="G98">
        <v>94</v>
      </c>
      <c r="H98" s="2">
        <v>43397</v>
      </c>
      <c r="I98" s="2">
        <v>0.37013888888759539</v>
      </c>
      <c r="J98" t="s">
        <v>96</v>
      </c>
      <c r="K98">
        <v>509</v>
      </c>
      <c r="L98" t="s">
        <v>70</v>
      </c>
      <c r="M98" t="s">
        <v>96</v>
      </c>
      <c r="N98" t="s">
        <v>545</v>
      </c>
      <c r="O98" t="s">
        <v>546</v>
      </c>
      <c r="P98" t="s">
        <v>547</v>
      </c>
      <c r="R98">
        <v>13.93916056988833</v>
      </c>
      <c r="S98">
        <v>0.9241432422025414</v>
      </c>
      <c r="T98" s="6">
        <f t="shared" si="6"/>
        <v>14.863303812090871</v>
      </c>
      <c r="U98" s="6">
        <v>16.78037686809617</v>
      </c>
      <c r="V98" s="6">
        <v>0.38986354775828458</v>
      </c>
      <c r="W98" s="6">
        <f t="shared" si="7"/>
        <v>17.170240415854455</v>
      </c>
      <c r="X98" s="6">
        <v>15.83214540270848</v>
      </c>
      <c r="Y98" s="6">
        <v>0.68602993585174632</v>
      </c>
      <c r="Z98" s="6">
        <f t="shared" si="8"/>
        <v>16.518175338560226</v>
      </c>
      <c r="AA98" s="6">
        <v>16.71252878081653</v>
      </c>
      <c r="AB98" s="6">
        <v>3.1055203010052228</v>
      </c>
      <c r="AC98" s="6">
        <f t="shared" si="9"/>
        <v>19.818049081821755</v>
      </c>
      <c r="AD98" s="6">
        <v>21.325403568394229</v>
      </c>
      <c r="AE98" s="6">
        <v>4.5686259365103892</v>
      </c>
      <c r="AF98" s="6">
        <f t="shared" si="10"/>
        <v>25.894029504904619</v>
      </c>
      <c r="AG98" s="6">
        <v>20.97787797660984</v>
      </c>
      <c r="AH98" s="6">
        <v>4.3764971114555449</v>
      </c>
      <c r="AI98" s="6">
        <f t="shared" si="11"/>
        <v>25.354375088065385</v>
      </c>
      <c r="AJ98">
        <v>5.1812403339053814</v>
      </c>
      <c r="AK98" s="3">
        <v>130.79213012500489</v>
      </c>
      <c r="AL98">
        <v>99.575323872179212</v>
      </c>
      <c r="AM98">
        <v>76.132504132328023</v>
      </c>
      <c r="AN98">
        <v>12.16114959201267</v>
      </c>
      <c r="AO98">
        <v>157.51435866615651</v>
      </c>
      <c r="AP98">
        <v>130.74652289260169</v>
      </c>
      <c r="AQ98">
        <v>83.006097983557254</v>
      </c>
      <c r="AR98">
        <v>13.57421513762767</v>
      </c>
      <c r="AS98">
        <v>241.53366912678541</v>
      </c>
      <c r="AT98">
        <v>346.43426842508791</v>
      </c>
      <c r="AU98">
        <v>143.4310461467127</v>
      </c>
      <c r="AV98">
        <v>14.954526232355519</v>
      </c>
      <c r="AW98">
        <v>173.88088699721149</v>
      </c>
      <c r="AX98">
        <v>171.15540959359819</v>
      </c>
      <c r="AY98">
        <v>98.432560673757635</v>
      </c>
      <c r="AZ98">
        <v>23.46790226480989</v>
      </c>
      <c r="BA98">
        <v>175.1658586061171</v>
      </c>
      <c r="BB98">
        <v>105.2756819583352</v>
      </c>
      <c r="BC98">
        <v>60.100571421889427</v>
      </c>
      <c r="BD98">
        <v>21.957427830493149</v>
      </c>
      <c r="BE98">
        <v>145.66653500476659</v>
      </c>
      <c r="BF98">
        <v>98.636251806369074</v>
      </c>
      <c r="BG98">
        <v>67.713735212512233</v>
      </c>
      <c r="BH98">
        <v>0.80321797250595683</v>
      </c>
      <c r="BI98">
        <v>0.107249719320569</v>
      </c>
      <c r="BJ98">
        <v>0.82531336404018885</v>
      </c>
      <c r="BK98">
        <v>9.3128585416321893E-2</v>
      </c>
      <c r="BL98">
        <v>0.82748833486819573</v>
      </c>
      <c r="BM98">
        <v>8.2272908686078505E-2</v>
      </c>
      <c r="BN98">
        <v>0.80732966736661949</v>
      </c>
      <c r="BO98">
        <v>9.8426178513119397E-2</v>
      </c>
      <c r="BP98">
        <v>0.80396612560202485</v>
      </c>
      <c r="BQ98">
        <v>9.7234874711518204E-2</v>
      </c>
      <c r="BR98">
        <v>0.80281893330487419</v>
      </c>
      <c r="BS98">
        <v>9.6078935770592802E-2</v>
      </c>
    </row>
    <row r="99" spans="1:71" x14ac:dyDescent="0.3">
      <c r="A99" t="s">
        <v>539</v>
      </c>
      <c r="B99" t="s">
        <v>83</v>
      </c>
      <c r="C99" t="s">
        <v>548</v>
      </c>
      <c r="D99" t="s">
        <v>420</v>
      </c>
      <c r="E99" s="2">
        <v>43353</v>
      </c>
      <c r="F99" s="2">
        <v>0.69236111111240461</v>
      </c>
      <c r="G99">
        <v>98</v>
      </c>
      <c r="H99" s="2">
        <v>43397</v>
      </c>
      <c r="I99" s="2">
        <v>0.33472222222189879</v>
      </c>
      <c r="J99" t="s">
        <v>96</v>
      </c>
      <c r="K99">
        <v>288</v>
      </c>
      <c r="L99" t="s">
        <v>220</v>
      </c>
      <c r="M99" t="s">
        <v>299</v>
      </c>
      <c r="N99" t="s">
        <v>549</v>
      </c>
      <c r="O99" t="s">
        <v>550</v>
      </c>
      <c r="P99" t="s">
        <v>551</v>
      </c>
      <c r="R99">
        <v>13.93916056988833</v>
      </c>
      <c r="S99">
        <v>0.9241432422025414</v>
      </c>
      <c r="T99" s="6">
        <f t="shared" si="6"/>
        <v>14.863303812090871</v>
      </c>
      <c r="U99" s="6">
        <v>16.78037686809617</v>
      </c>
      <c r="V99" s="6">
        <v>0.38986354775828458</v>
      </c>
      <c r="W99" s="6">
        <f t="shared" si="7"/>
        <v>17.170240415854455</v>
      </c>
      <c r="X99" s="6">
        <v>15.83214540270848</v>
      </c>
      <c r="Y99" s="6">
        <v>0.68602993585174632</v>
      </c>
      <c r="Z99" s="6">
        <f t="shared" si="8"/>
        <v>16.518175338560226</v>
      </c>
      <c r="AA99" s="6">
        <v>16.71252878081653</v>
      </c>
      <c r="AB99" s="6">
        <v>3.1055203010052228</v>
      </c>
      <c r="AC99" s="6">
        <f t="shared" si="9"/>
        <v>19.818049081821755</v>
      </c>
      <c r="AD99" s="6">
        <v>21.325403568394229</v>
      </c>
      <c r="AE99" s="6">
        <v>4.5686259365103892</v>
      </c>
      <c r="AF99" s="6">
        <f t="shared" si="10"/>
        <v>25.894029504904619</v>
      </c>
      <c r="AG99" s="6">
        <v>20.97787797660984</v>
      </c>
      <c r="AH99" s="6">
        <v>4.3764971114555449</v>
      </c>
      <c r="AI99" s="6">
        <f t="shared" si="11"/>
        <v>25.354375088065385</v>
      </c>
      <c r="AJ99">
        <v>5.1812403339053814</v>
      </c>
      <c r="AK99" s="3">
        <v>130.79213012500489</v>
      </c>
      <c r="AL99">
        <v>99.575323872179212</v>
      </c>
      <c r="AM99">
        <v>76.132504132328023</v>
      </c>
      <c r="AN99">
        <v>12.16114959201267</v>
      </c>
      <c r="AO99">
        <v>157.51435866615651</v>
      </c>
      <c r="AP99">
        <v>130.74652289260169</v>
      </c>
      <c r="AQ99">
        <v>83.006097983557254</v>
      </c>
      <c r="AR99">
        <v>13.57421513762767</v>
      </c>
      <c r="AS99">
        <v>241.53366912678541</v>
      </c>
      <c r="AT99">
        <v>346.43426842508791</v>
      </c>
      <c r="AU99">
        <v>143.4310461467127</v>
      </c>
      <c r="AV99">
        <v>14.954526232355519</v>
      </c>
      <c r="AW99">
        <v>173.88088699721149</v>
      </c>
      <c r="AX99">
        <v>171.15540959359819</v>
      </c>
      <c r="AY99">
        <v>98.432560673757635</v>
      </c>
      <c r="AZ99">
        <v>23.46790226480989</v>
      </c>
      <c r="BA99">
        <v>175.1658586061171</v>
      </c>
      <c r="BB99">
        <v>105.2756819583352</v>
      </c>
      <c r="BC99">
        <v>60.100571421889427</v>
      </c>
      <c r="BD99">
        <v>21.957427830493149</v>
      </c>
      <c r="BE99">
        <v>145.66653500476659</v>
      </c>
      <c r="BF99">
        <v>98.636251806369074</v>
      </c>
      <c r="BG99">
        <v>67.713735212512233</v>
      </c>
      <c r="BH99">
        <v>0.80321797250595683</v>
      </c>
      <c r="BI99">
        <v>0.107249719320569</v>
      </c>
      <c r="BJ99">
        <v>0.82531336404018885</v>
      </c>
      <c r="BK99">
        <v>9.3128585416321893E-2</v>
      </c>
      <c r="BL99">
        <v>0.82748833486819573</v>
      </c>
      <c r="BM99">
        <v>8.2272908686078505E-2</v>
      </c>
      <c r="BN99">
        <v>0.80732966736661949</v>
      </c>
      <c r="BO99">
        <v>9.8426178513119397E-2</v>
      </c>
      <c r="BP99">
        <v>0.80396612560202485</v>
      </c>
      <c r="BQ99">
        <v>9.7234874711518204E-2</v>
      </c>
      <c r="BR99">
        <v>0.80281893330487419</v>
      </c>
      <c r="BS99">
        <v>9.6078935770592802E-2</v>
      </c>
    </row>
    <row r="100" spans="1:71" x14ac:dyDescent="0.3">
      <c r="A100" t="s">
        <v>552</v>
      </c>
      <c r="B100" t="s">
        <v>66</v>
      </c>
      <c r="C100" t="s">
        <v>376</v>
      </c>
      <c r="D100" t="s">
        <v>271</v>
      </c>
      <c r="E100" s="2">
        <v>43326</v>
      </c>
      <c r="F100" s="2">
        <v>0.46736111111022183</v>
      </c>
      <c r="G100">
        <v>95</v>
      </c>
      <c r="H100" s="2">
        <v>43354</v>
      </c>
      <c r="I100" s="2">
        <v>0.37638888888977817</v>
      </c>
      <c r="J100" t="s">
        <v>86</v>
      </c>
      <c r="K100">
        <v>170</v>
      </c>
      <c r="L100" t="s">
        <v>177</v>
      </c>
      <c r="M100" t="s">
        <v>184</v>
      </c>
      <c r="N100" t="s">
        <v>553</v>
      </c>
      <c r="O100" t="s">
        <v>554</v>
      </c>
      <c r="P100" t="s">
        <v>555</v>
      </c>
      <c r="R100">
        <v>16.53846153846154</v>
      </c>
      <c r="S100">
        <v>0</v>
      </c>
      <c r="T100" s="6">
        <f t="shared" si="6"/>
        <v>16.53846153846154</v>
      </c>
      <c r="U100" s="6">
        <v>22.10851202079272</v>
      </c>
      <c r="V100" s="6">
        <v>0</v>
      </c>
      <c r="W100" s="6">
        <f t="shared" si="7"/>
        <v>22.10851202079272</v>
      </c>
      <c r="X100" s="6">
        <v>25.213751335945851</v>
      </c>
      <c r="Y100" s="6">
        <v>0.30281439258995368</v>
      </c>
      <c r="Z100" s="6">
        <f t="shared" si="8"/>
        <v>25.516565728535806</v>
      </c>
      <c r="AA100" s="6">
        <v>24.00674346726608</v>
      </c>
      <c r="AB100" s="6">
        <v>0.24726046642315261</v>
      </c>
      <c r="AC100" s="6">
        <f t="shared" si="9"/>
        <v>24.254003933689233</v>
      </c>
      <c r="AD100" s="6">
        <v>24.707382083671341</v>
      </c>
      <c r="AE100" s="6">
        <v>0.26654305249739252</v>
      </c>
      <c r="AF100" s="6">
        <f t="shared" si="10"/>
        <v>24.973925136168734</v>
      </c>
      <c r="AG100" s="6">
        <v>27.583389677710159</v>
      </c>
      <c r="AH100" s="6">
        <v>0.26200135226504401</v>
      </c>
      <c r="AI100" s="6">
        <f t="shared" si="11"/>
        <v>27.845391029975204</v>
      </c>
      <c r="AJ100">
        <v>2.8859240201797389</v>
      </c>
      <c r="AK100" s="3">
        <v>138.47467639528321</v>
      </c>
      <c r="AL100">
        <v>57.584728101226531</v>
      </c>
      <c r="AM100">
        <v>41.585024497076937</v>
      </c>
      <c r="AN100">
        <v>8.4254525955883377</v>
      </c>
      <c r="AO100">
        <v>126.94195929879101</v>
      </c>
      <c r="AP100">
        <v>57.282354366500073</v>
      </c>
      <c r="AQ100">
        <v>45.124838692359468</v>
      </c>
      <c r="AR100">
        <v>9.6007309555067533</v>
      </c>
      <c r="AS100">
        <v>106.67240600048279</v>
      </c>
      <c r="AT100">
        <v>40.093907726892382</v>
      </c>
      <c r="AU100">
        <v>37.586016131210997</v>
      </c>
      <c r="AV100">
        <v>7.2416558552898227</v>
      </c>
      <c r="AW100">
        <v>108.78546404128581</v>
      </c>
      <c r="AX100">
        <v>46.957819938625732</v>
      </c>
      <c r="AY100">
        <v>43.165527998119771</v>
      </c>
      <c r="AZ100">
        <v>7.0350519923732717</v>
      </c>
      <c r="BA100">
        <v>103.36120223336211</v>
      </c>
      <c r="BB100">
        <v>52.029003332316961</v>
      </c>
      <c r="BC100">
        <v>50.337072526352131</v>
      </c>
      <c r="BD100">
        <v>8.8430081139284464</v>
      </c>
      <c r="BE100">
        <v>108.6209345674674</v>
      </c>
      <c r="BF100">
        <v>59.90169761704243</v>
      </c>
      <c r="BG100">
        <v>55.147470287908348</v>
      </c>
      <c r="BH100">
        <v>0.77057836397139678</v>
      </c>
      <c r="BI100">
        <v>0.1138660048408122</v>
      </c>
      <c r="BJ100">
        <v>0.77532959599765749</v>
      </c>
      <c r="BK100">
        <v>0.11208911421726241</v>
      </c>
      <c r="BL100">
        <v>0.78189430877171961</v>
      </c>
      <c r="BM100">
        <v>0.10898334696017151</v>
      </c>
      <c r="BN100">
        <v>0.78475637602454362</v>
      </c>
      <c r="BO100">
        <v>0.1070962457841378</v>
      </c>
      <c r="BP100">
        <v>0.7791058742820578</v>
      </c>
      <c r="BQ100">
        <v>0.1103779325827738</v>
      </c>
      <c r="BR100">
        <v>0.77703103665017792</v>
      </c>
      <c r="BS100">
        <v>0.115865644053654</v>
      </c>
    </row>
    <row r="101" spans="1:71" x14ac:dyDescent="0.3">
      <c r="A101" t="s">
        <v>552</v>
      </c>
      <c r="B101" t="s">
        <v>76</v>
      </c>
      <c r="C101" t="s">
        <v>84</v>
      </c>
      <c r="D101" t="s">
        <v>465</v>
      </c>
      <c r="E101" s="2">
        <v>43326</v>
      </c>
      <c r="F101" s="2">
        <v>0.52500000000145519</v>
      </c>
      <c r="G101">
        <v>98</v>
      </c>
      <c r="H101" s="2">
        <v>43354</v>
      </c>
      <c r="I101" s="2">
        <v>0.33680555555474712</v>
      </c>
      <c r="J101" t="s">
        <v>206</v>
      </c>
      <c r="K101">
        <v>207</v>
      </c>
      <c r="L101" t="s">
        <v>177</v>
      </c>
      <c r="M101" t="s">
        <v>262</v>
      </c>
      <c r="N101" t="s">
        <v>556</v>
      </c>
      <c r="O101" t="s">
        <v>557</v>
      </c>
      <c r="P101" t="s">
        <v>558</v>
      </c>
      <c r="Q101" t="s">
        <v>559</v>
      </c>
      <c r="R101">
        <v>16.53846153846154</v>
      </c>
      <c r="S101">
        <v>0</v>
      </c>
      <c r="T101" s="6">
        <f t="shared" si="6"/>
        <v>16.53846153846154</v>
      </c>
      <c r="U101" s="6">
        <v>22.10851202079272</v>
      </c>
      <c r="V101" s="6">
        <v>0</v>
      </c>
      <c r="W101" s="6">
        <f t="shared" si="7"/>
        <v>22.10851202079272</v>
      </c>
      <c r="X101" s="6">
        <v>25.213751335945851</v>
      </c>
      <c r="Y101" s="6">
        <v>0.30281439258995368</v>
      </c>
      <c r="Z101" s="6">
        <f t="shared" si="8"/>
        <v>25.516565728535806</v>
      </c>
      <c r="AA101" s="6">
        <v>24.00674346726608</v>
      </c>
      <c r="AB101" s="6">
        <v>0.24726046642315261</v>
      </c>
      <c r="AC101" s="6">
        <f t="shared" si="9"/>
        <v>24.254003933689233</v>
      </c>
      <c r="AD101" s="6">
        <v>24.707382083671341</v>
      </c>
      <c r="AE101" s="6">
        <v>0.26654305249739252</v>
      </c>
      <c r="AF101" s="6">
        <f t="shared" si="10"/>
        <v>24.973925136168734</v>
      </c>
      <c r="AG101" s="6">
        <v>27.583389677710159</v>
      </c>
      <c r="AH101" s="6">
        <v>0.26200135226504401</v>
      </c>
      <c r="AI101" s="6">
        <f t="shared" si="11"/>
        <v>27.845391029975204</v>
      </c>
      <c r="AJ101">
        <v>2.8859240201797389</v>
      </c>
      <c r="AK101" s="3">
        <v>138.47467639528321</v>
      </c>
      <c r="AL101">
        <v>57.584728101226531</v>
      </c>
      <c r="AM101">
        <v>41.585024497076937</v>
      </c>
      <c r="AN101">
        <v>8.4254525955883377</v>
      </c>
      <c r="AO101">
        <v>126.94195929879101</v>
      </c>
      <c r="AP101">
        <v>57.282354366500073</v>
      </c>
      <c r="AQ101">
        <v>45.124838692359468</v>
      </c>
      <c r="AR101">
        <v>9.6007309555067533</v>
      </c>
      <c r="AS101">
        <v>106.67240600048279</v>
      </c>
      <c r="AT101">
        <v>40.093907726892382</v>
      </c>
      <c r="AU101">
        <v>37.586016131210997</v>
      </c>
      <c r="AV101">
        <v>7.2416558552898227</v>
      </c>
      <c r="AW101">
        <v>108.78546404128581</v>
      </c>
      <c r="AX101">
        <v>46.957819938625732</v>
      </c>
      <c r="AY101">
        <v>43.165527998119771</v>
      </c>
      <c r="AZ101">
        <v>7.0350519923732717</v>
      </c>
      <c r="BA101">
        <v>103.36120223336211</v>
      </c>
      <c r="BB101">
        <v>52.029003332316961</v>
      </c>
      <c r="BC101">
        <v>50.337072526352131</v>
      </c>
      <c r="BD101">
        <v>8.8430081139284464</v>
      </c>
      <c r="BE101">
        <v>108.6209345674674</v>
      </c>
      <c r="BF101">
        <v>59.90169761704243</v>
      </c>
      <c r="BG101">
        <v>55.147470287908348</v>
      </c>
      <c r="BH101">
        <v>0.77057836397139678</v>
      </c>
      <c r="BI101">
        <v>0.1138660048408122</v>
      </c>
      <c r="BJ101">
        <v>0.77532959599765749</v>
      </c>
      <c r="BK101">
        <v>0.11208911421726241</v>
      </c>
      <c r="BL101">
        <v>0.78189430877171961</v>
      </c>
      <c r="BM101">
        <v>0.10898334696017151</v>
      </c>
      <c r="BN101">
        <v>0.78475637602454362</v>
      </c>
      <c r="BO101">
        <v>0.1070962457841378</v>
      </c>
      <c r="BP101">
        <v>0.7791058742820578</v>
      </c>
      <c r="BQ101">
        <v>0.1103779325827738</v>
      </c>
      <c r="BR101">
        <v>0.77703103665017792</v>
      </c>
      <c r="BS101">
        <v>0.115865644053654</v>
      </c>
    </row>
    <row r="102" spans="1:71" x14ac:dyDescent="0.3">
      <c r="A102" t="s">
        <v>552</v>
      </c>
      <c r="B102" t="s">
        <v>83</v>
      </c>
      <c r="C102" t="s">
        <v>363</v>
      </c>
      <c r="D102" t="s">
        <v>85</v>
      </c>
      <c r="E102" s="2">
        <v>43326</v>
      </c>
      <c r="F102" s="2">
        <v>0.59236111111022183</v>
      </c>
      <c r="G102">
        <v>96</v>
      </c>
      <c r="H102" s="2">
        <v>43354</v>
      </c>
      <c r="I102" s="2">
        <v>0.36111111110949418</v>
      </c>
      <c r="J102" t="s">
        <v>144</v>
      </c>
      <c r="K102">
        <v>316</v>
      </c>
      <c r="L102" t="s">
        <v>70</v>
      </c>
      <c r="M102" t="s">
        <v>123</v>
      </c>
      <c r="N102" t="s">
        <v>560</v>
      </c>
      <c r="O102" t="s">
        <v>561</v>
      </c>
      <c r="P102" t="s">
        <v>562</v>
      </c>
      <c r="R102">
        <v>16.53846153846154</v>
      </c>
      <c r="S102">
        <v>0</v>
      </c>
      <c r="T102" s="6">
        <f t="shared" si="6"/>
        <v>16.53846153846154</v>
      </c>
      <c r="U102" s="6">
        <v>22.10851202079272</v>
      </c>
      <c r="V102" s="6">
        <v>0</v>
      </c>
      <c r="W102" s="6">
        <f t="shared" si="7"/>
        <v>22.10851202079272</v>
      </c>
      <c r="X102" s="6">
        <v>25.213751335945851</v>
      </c>
      <c r="Y102" s="6">
        <v>0.30281439258995368</v>
      </c>
      <c r="Z102" s="6">
        <f t="shared" si="8"/>
        <v>25.516565728535806</v>
      </c>
      <c r="AA102" s="6">
        <v>24.00674346726608</v>
      </c>
      <c r="AB102" s="6">
        <v>0.24726046642315261</v>
      </c>
      <c r="AC102" s="6">
        <f t="shared" si="9"/>
        <v>24.254003933689233</v>
      </c>
      <c r="AD102" s="6">
        <v>24.707382083671341</v>
      </c>
      <c r="AE102" s="6">
        <v>0.26654305249739252</v>
      </c>
      <c r="AF102" s="6">
        <f t="shared" si="10"/>
        <v>24.973925136168734</v>
      </c>
      <c r="AG102" s="6">
        <v>27.583389677710159</v>
      </c>
      <c r="AH102" s="6">
        <v>0.26200135226504401</v>
      </c>
      <c r="AI102" s="6">
        <f t="shared" si="11"/>
        <v>27.845391029975204</v>
      </c>
      <c r="AJ102">
        <v>2.8859240201797389</v>
      </c>
      <c r="AK102" s="3">
        <v>138.47467639528321</v>
      </c>
      <c r="AL102">
        <v>57.584728101226531</v>
      </c>
      <c r="AM102">
        <v>41.585024497076937</v>
      </c>
      <c r="AN102">
        <v>8.4254525955883377</v>
      </c>
      <c r="AO102">
        <v>126.94195929879101</v>
      </c>
      <c r="AP102">
        <v>57.282354366500073</v>
      </c>
      <c r="AQ102">
        <v>45.124838692359468</v>
      </c>
      <c r="AR102">
        <v>9.6007309555067533</v>
      </c>
      <c r="AS102">
        <v>106.67240600048279</v>
      </c>
      <c r="AT102">
        <v>40.093907726892382</v>
      </c>
      <c r="AU102">
        <v>37.586016131210997</v>
      </c>
      <c r="AV102">
        <v>7.2416558552898227</v>
      </c>
      <c r="AW102">
        <v>108.78546404128581</v>
      </c>
      <c r="AX102">
        <v>46.957819938625732</v>
      </c>
      <c r="AY102">
        <v>43.165527998119771</v>
      </c>
      <c r="AZ102">
        <v>7.0350519923732717</v>
      </c>
      <c r="BA102">
        <v>103.36120223336211</v>
      </c>
      <c r="BB102">
        <v>52.029003332316961</v>
      </c>
      <c r="BC102">
        <v>50.337072526352131</v>
      </c>
      <c r="BD102">
        <v>8.8430081139284464</v>
      </c>
      <c r="BE102">
        <v>108.6209345674674</v>
      </c>
      <c r="BF102">
        <v>59.90169761704243</v>
      </c>
      <c r="BG102">
        <v>55.147470287908348</v>
      </c>
      <c r="BH102">
        <v>0.77057836397139678</v>
      </c>
      <c r="BI102">
        <v>0.1138660048408122</v>
      </c>
      <c r="BJ102">
        <v>0.77532959599765749</v>
      </c>
      <c r="BK102">
        <v>0.11208911421726241</v>
      </c>
      <c r="BL102">
        <v>0.78189430877171961</v>
      </c>
      <c r="BM102">
        <v>0.10898334696017151</v>
      </c>
      <c r="BN102">
        <v>0.78475637602454362</v>
      </c>
      <c r="BO102">
        <v>0.1070962457841378</v>
      </c>
      <c r="BP102">
        <v>0.7791058742820578</v>
      </c>
      <c r="BQ102">
        <v>0.1103779325827738</v>
      </c>
      <c r="BR102">
        <v>0.77703103665017792</v>
      </c>
      <c r="BS102">
        <v>0.115865644053654</v>
      </c>
    </row>
    <row r="103" spans="1:71" x14ac:dyDescent="0.3">
      <c r="A103" t="s">
        <v>563</v>
      </c>
      <c r="B103" t="s">
        <v>66</v>
      </c>
      <c r="C103" t="s">
        <v>77</v>
      </c>
      <c r="D103" t="s">
        <v>205</v>
      </c>
      <c r="E103" s="2">
        <v>42982</v>
      </c>
      <c r="F103" s="2">
        <v>0.51111111111094942</v>
      </c>
      <c r="G103">
        <v>88</v>
      </c>
      <c r="H103" s="2">
        <v>43011</v>
      </c>
      <c r="I103" s="2">
        <v>0.36111111110949418</v>
      </c>
      <c r="J103" t="s">
        <v>564</v>
      </c>
      <c r="K103">
        <v>171</v>
      </c>
      <c r="L103" t="s">
        <v>70</v>
      </c>
      <c r="M103" t="s">
        <v>71</v>
      </c>
      <c r="N103" t="s">
        <v>565</v>
      </c>
      <c r="O103" t="s">
        <v>566</v>
      </c>
      <c r="P103" t="s">
        <v>567</v>
      </c>
      <c r="R103">
        <v>18.16436251920123</v>
      </c>
      <c r="S103">
        <v>0</v>
      </c>
      <c r="T103" s="6">
        <f t="shared" si="6"/>
        <v>18.16436251920123</v>
      </c>
      <c r="U103" s="6">
        <v>17.55700325732899</v>
      </c>
      <c r="V103" s="6">
        <v>0</v>
      </c>
      <c r="W103" s="6">
        <f t="shared" si="7"/>
        <v>17.55700325732899</v>
      </c>
      <c r="X103" s="6">
        <v>16.59991099243436</v>
      </c>
      <c r="Y103" s="6">
        <v>0</v>
      </c>
      <c r="Z103" s="6">
        <f t="shared" si="8"/>
        <v>16.59991099243436</v>
      </c>
      <c r="AA103" s="6">
        <v>20.6384892086331</v>
      </c>
      <c r="AB103" s="6">
        <v>0</v>
      </c>
      <c r="AC103" s="6">
        <f t="shared" si="9"/>
        <v>20.6384892086331</v>
      </c>
      <c r="AD103" s="6">
        <v>24.632480611181851</v>
      </c>
      <c r="AE103" s="6">
        <v>0</v>
      </c>
      <c r="AF103" s="6">
        <f t="shared" si="10"/>
        <v>24.632480611181851</v>
      </c>
      <c r="AG103" s="6">
        <v>26.913427113579338</v>
      </c>
      <c r="AH103" s="6">
        <v>0</v>
      </c>
      <c r="AI103" s="6">
        <f t="shared" si="11"/>
        <v>26.913427113579338</v>
      </c>
      <c r="AJ103">
        <v>4.7617746332964996</v>
      </c>
      <c r="AK103" s="3">
        <v>155.9430293018147</v>
      </c>
      <c r="AL103">
        <v>159.97668413479909</v>
      </c>
      <c r="AM103">
        <v>102.58662080058581</v>
      </c>
      <c r="AN103">
        <v>5.426208303059564</v>
      </c>
      <c r="AO103">
        <v>164.6796105307682</v>
      </c>
      <c r="AP103">
        <v>93.903510070859866</v>
      </c>
      <c r="AQ103">
        <v>57.021940826921771</v>
      </c>
      <c r="AR103">
        <v>6.823715484502352</v>
      </c>
      <c r="AS103">
        <v>176.7886892251239</v>
      </c>
      <c r="AT103">
        <v>108.3734096598904</v>
      </c>
      <c r="AU103">
        <v>61.301099145481537</v>
      </c>
      <c r="AV103">
        <v>10.56190664661368</v>
      </c>
      <c r="AW103">
        <v>197.00777664291559</v>
      </c>
      <c r="AX103">
        <v>194.29984426926339</v>
      </c>
      <c r="AY103">
        <v>98.62546929882852</v>
      </c>
      <c r="AZ103">
        <v>14.683121200878221</v>
      </c>
      <c r="BA103">
        <v>154.31625368376501</v>
      </c>
      <c r="BB103">
        <v>111.4220351274258</v>
      </c>
      <c r="BC103">
        <v>72.20369369240855</v>
      </c>
      <c r="BD103">
        <v>17.476618950113622</v>
      </c>
      <c r="BE103">
        <v>134.37789622629981</v>
      </c>
      <c r="BF103">
        <v>75.763145907303027</v>
      </c>
      <c r="BG103">
        <v>56.380660834065843</v>
      </c>
      <c r="BH103">
        <v>0.81236893856490655</v>
      </c>
      <c r="BI103">
        <v>8.1819858329075207E-2</v>
      </c>
      <c r="BJ103">
        <v>0.83388041543757119</v>
      </c>
      <c r="BK103">
        <v>7.3406936766445302E-2</v>
      </c>
      <c r="BL103">
        <v>0.84721569828711807</v>
      </c>
      <c r="BM103">
        <v>7.4869707763251497E-2</v>
      </c>
      <c r="BN103">
        <v>0.86251639034798067</v>
      </c>
      <c r="BO103">
        <v>7.0030832573632101E-2</v>
      </c>
      <c r="BP103">
        <v>0.87214408285397915</v>
      </c>
      <c r="BQ103">
        <v>6.21192975651167E-2</v>
      </c>
      <c r="BR103">
        <v>0.87555738842574138</v>
      </c>
      <c r="BS103">
        <v>5.5904773035650702E-2</v>
      </c>
    </row>
    <row r="104" spans="1:71" x14ac:dyDescent="0.3">
      <c r="A104" t="s">
        <v>563</v>
      </c>
      <c r="B104" t="s">
        <v>76</v>
      </c>
      <c r="C104" t="s">
        <v>266</v>
      </c>
      <c r="D104" t="s">
        <v>447</v>
      </c>
      <c r="E104" s="2">
        <v>42982</v>
      </c>
      <c r="F104" s="2">
        <v>0.56041666666715173</v>
      </c>
      <c r="G104">
        <v>95</v>
      </c>
      <c r="H104" s="2">
        <v>43011</v>
      </c>
      <c r="I104" s="2">
        <v>0.37847222222262639</v>
      </c>
      <c r="J104" t="s">
        <v>130</v>
      </c>
      <c r="K104">
        <v>153</v>
      </c>
      <c r="L104" t="s">
        <v>177</v>
      </c>
      <c r="M104" t="s">
        <v>88</v>
      </c>
      <c r="N104" t="s">
        <v>568</v>
      </c>
      <c r="O104" t="s">
        <v>569</v>
      </c>
      <c r="P104" t="s">
        <v>570</v>
      </c>
      <c r="R104">
        <v>18.16436251920123</v>
      </c>
      <c r="S104">
        <v>0</v>
      </c>
      <c r="T104" s="6">
        <f t="shared" si="6"/>
        <v>18.16436251920123</v>
      </c>
      <c r="U104" s="6">
        <v>17.55700325732899</v>
      </c>
      <c r="V104" s="6">
        <v>0</v>
      </c>
      <c r="W104" s="6">
        <f t="shared" si="7"/>
        <v>17.55700325732899</v>
      </c>
      <c r="X104" s="6">
        <v>16.59991099243436</v>
      </c>
      <c r="Y104" s="6">
        <v>0</v>
      </c>
      <c r="Z104" s="6">
        <f t="shared" si="8"/>
        <v>16.59991099243436</v>
      </c>
      <c r="AA104" s="6">
        <v>20.6384892086331</v>
      </c>
      <c r="AB104" s="6">
        <v>0</v>
      </c>
      <c r="AC104" s="6">
        <f t="shared" si="9"/>
        <v>20.6384892086331</v>
      </c>
      <c r="AD104" s="6">
        <v>24.632480611181851</v>
      </c>
      <c r="AE104" s="6">
        <v>0</v>
      </c>
      <c r="AF104" s="6">
        <f t="shared" si="10"/>
        <v>24.632480611181851</v>
      </c>
      <c r="AG104" s="6">
        <v>26.913427113579338</v>
      </c>
      <c r="AH104" s="6">
        <v>0</v>
      </c>
      <c r="AI104" s="6">
        <f t="shared" si="11"/>
        <v>26.913427113579338</v>
      </c>
      <c r="AJ104">
        <v>4.7617746332964996</v>
      </c>
      <c r="AK104" s="3">
        <v>155.9430293018147</v>
      </c>
      <c r="AL104">
        <v>159.97668413479909</v>
      </c>
      <c r="AM104">
        <v>102.58662080058581</v>
      </c>
      <c r="AN104">
        <v>5.426208303059564</v>
      </c>
      <c r="AO104">
        <v>164.6796105307682</v>
      </c>
      <c r="AP104">
        <v>93.903510070859866</v>
      </c>
      <c r="AQ104">
        <v>57.021940826921771</v>
      </c>
      <c r="AR104">
        <v>6.823715484502352</v>
      </c>
      <c r="AS104">
        <v>176.7886892251239</v>
      </c>
      <c r="AT104">
        <v>108.3734096598904</v>
      </c>
      <c r="AU104">
        <v>61.301099145481537</v>
      </c>
      <c r="AV104">
        <v>10.56190664661368</v>
      </c>
      <c r="AW104">
        <v>197.00777664291559</v>
      </c>
      <c r="AX104">
        <v>194.29984426926339</v>
      </c>
      <c r="AY104">
        <v>98.62546929882852</v>
      </c>
      <c r="AZ104">
        <v>14.683121200878221</v>
      </c>
      <c r="BA104">
        <v>154.31625368376501</v>
      </c>
      <c r="BB104">
        <v>111.4220351274258</v>
      </c>
      <c r="BC104">
        <v>72.20369369240855</v>
      </c>
      <c r="BD104">
        <v>17.476618950113622</v>
      </c>
      <c r="BE104">
        <v>134.37789622629981</v>
      </c>
      <c r="BF104">
        <v>75.763145907303027</v>
      </c>
      <c r="BG104">
        <v>56.380660834065843</v>
      </c>
      <c r="BH104">
        <v>0.81236893856490655</v>
      </c>
      <c r="BI104">
        <v>8.1819858329075207E-2</v>
      </c>
      <c r="BJ104">
        <v>0.83388041543757119</v>
      </c>
      <c r="BK104">
        <v>7.3406936766445302E-2</v>
      </c>
      <c r="BL104">
        <v>0.84721569828711807</v>
      </c>
      <c r="BM104">
        <v>7.4869707763251497E-2</v>
      </c>
      <c r="BN104">
        <v>0.86251639034798067</v>
      </c>
      <c r="BO104">
        <v>7.0030832573632101E-2</v>
      </c>
      <c r="BP104">
        <v>0.87214408285397915</v>
      </c>
      <c r="BQ104">
        <v>6.21192975651167E-2</v>
      </c>
      <c r="BR104">
        <v>0.87555738842574138</v>
      </c>
      <c r="BS104">
        <v>5.5904773035650702E-2</v>
      </c>
    </row>
    <row r="105" spans="1:71" x14ac:dyDescent="0.3">
      <c r="A105" t="s">
        <v>563</v>
      </c>
      <c r="B105" t="s">
        <v>83</v>
      </c>
      <c r="C105" t="s">
        <v>84</v>
      </c>
      <c r="D105" t="s">
        <v>247</v>
      </c>
      <c r="E105" s="2">
        <v>42982</v>
      </c>
      <c r="F105" s="2">
        <v>0.70833333333212067</v>
      </c>
      <c r="G105">
        <v>93</v>
      </c>
      <c r="H105" s="2">
        <v>43011</v>
      </c>
      <c r="I105" s="2">
        <v>0.34583333333284833</v>
      </c>
      <c r="J105" t="s">
        <v>137</v>
      </c>
      <c r="K105">
        <v>160</v>
      </c>
      <c r="L105" t="s">
        <v>157</v>
      </c>
      <c r="M105" t="s">
        <v>304</v>
      </c>
      <c r="N105" t="s">
        <v>571</v>
      </c>
      <c r="O105" t="s">
        <v>572</v>
      </c>
      <c r="P105" t="s">
        <v>573</v>
      </c>
      <c r="R105">
        <v>18.16436251920123</v>
      </c>
      <c r="S105">
        <v>0</v>
      </c>
      <c r="T105" s="6">
        <f t="shared" si="6"/>
        <v>18.16436251920123</v>
      </c>
      <c r="U105" s="6">
        <v>17.55700325732899</v>
      </c>
      <c r="V105" s="6">
        <v>0</v>
      </c>
      <c r="W105" s="6">
        <f t="shared" si="7"/>
        <v>17.55700325732899</v>
      </c>
      <c r="X105" s="6">
        <v>16.59991099243436</v>
      </c>
      <c r="Y105" s="6">
        <v>0</v>
      </c>
      <c r="Z105" s="6">
        <f t="shared" si="8"/>
        <v>16.59991099243436</v>
      </c>
      <c r="AA105" s="6">
        <v>20.6384892086331</v>
      </c>
      <c r="AB105" s="6">
        <v>0</v>
      </c>
      <c r="AC105" s="6">
        <f t="shared" si="9"/>
        <v>20.6384892086331</v>
      </c>
      <c r="AD105" s="6">
        <v>24.632480611181851</v>
      </c>
      <c r="AE105" s="6">
        <v>0</v>
      </c>
      <c r="AF105" s="6">
        <f t="shared" si="10"/>
        <v>24.632480611181851</v>
      </c>
      <c r="AG105" s="6">
        <v>26.913427113579338</v>
      </c>
      <c r="AH105" s="6">
        <v>0</v>
      </c>
      <c r="AI105" s="6">
        <f t="shared" si="11"/>
        <v>26.913427113579338</v>
      </c>
      <c r="AJ105">
        <v>4.7617746332964996</v>
      </c>
      <c r="AK105" s="3">
        <v>155.9430293018147</v>
      </c>
      <c r="AL105">
        <v>159.97668413479909</v>
      </c>
      <c r="AM105">
        <v>102.58662080058581</v>
      </c>
      <c r="AN105">
        <v>5.426208303059564</v>
      </c>
      <c r="AO105">
        <v>164.6796105307682</v>
      </c>
      <c r="AP105">
        <v>93.903510070859866</v>
      </c>
      <c r="AQ105">
        <v>57.021940826921771</v>
      </c>
      <c r="AR105">
        <v>6.823715484502352</v>
      </c>
      <c r="AS105">
        <v>176.7886892251239</v>
      </c>
      <c r="AT105">
        <v>108.3734096598904</v>
      </c>
      <c r="AU105">
        <v>61.301099145481537</v>
      </c>
      <c r="AV105">
        <v>10.56190664661368</v>
      </c>
      <c r="AW105">
        <v>197.00777664291559</v>
      </c>
      <c r="AX105">
        <v>194.29984426926339</v>
      </c>
      <c r="AY105">
        <v>98.62546929882852</v>
      </c>
      <c r="AZ105">
        <v>14.683121200878221</v>
      </c>
      <c r="BA105">
        <v>154.31625368376501</v>
      </c>
      <c r="BB105">
        <v>111.4220351274258</v>
      </c>
      <c r="BC105">
        <v>72.20369369240855</v>
      </c>
      <c r="BD105">
        <v>17.476618950113622</v>
      </c>
      <c r="BE105">
        <v>134.37789622629981</v>
      </c>
      <c r="BF105">
        <v>75.763145907303027</v>
      </c>
      <c r="BG105">
        <v>56.380660834065843</v>
      </c>
      <c r="BH105">
        <v>0.81236893856490655</v>
      </c>
      <c r="BI105">
        <v>8.1819858329075207E-2</v>
      </c>
      <c r="BJ105">
        <v>0.83388041543757119</v>
      </c>
      <c r="BK105">
        <v>7.3406936766445302E-2</v>
      </c>
      <c r="BL105">
        <v>0.84721569828711807</v>
      </c>
      <c r="BM105">
        <v>7.4869707763251497E-2</v>
      </c>
      <c r="BN105">
        <v>0.86251639034798067</v>
      </c>
      <c r="BO105">
        <v>7.0030832573632101E-2</v>
      </c>
      <c r="BP105">
        <v>0.87214408285397915</v>
      </c>
      <c r="BQ105">
        <v>6.21192975651167E-2</v>
      </c>
      <c r="BR105">
        <v>0.87555738842574138</v>
      </c>
      <c r="BS105">
        <v>5.5904773035650702E-2</v>
      </c>
    </row>
    <row r="106" spans="1:71" x14ac:dyDescent="0.3">
      <c r="A106" t="s">
        <v>574</v>
      </c>
      <c r="B106" t="s">
        <v>66</v>
      </c>
      <c r="C106" t="s">
        <v>84</v>
      </c>
      <c r="D106" t="s">
        <v>271</v>
      </c>
      <c r="E106" s="2">
        <v>43011</v>
      </c>
      <c r="F106" s="2">
        <v>0.59930555555547471</v>
      </c>
      <c r="G106">
        <v>93</v>
      </c>
      <c r="H106" s="2">
        <v>43047</v>
      </c>
      <c r="I106" s="2">
        <v>0.69444444444525288</v>
      </c>
      <c r="J106" t="s">
        <v>316</v>
      </c>
      <c r="K106">
        <v>331</v>
      </c>
      <c r="L106" t="s">
        <v>425</v>
      </c>
      <c r="M106" t="s">
        <v>123</v>
      </c>
      <c r="N106" t="s">
        <v>575</v>
      </c>
      <c r="O106" t="s">
        <v>576</v>
      </c>
      <c r="P106" t="s">
        <v>577</v>
      </c>
      <c r="Q106" t="s">
        <v>578</v>
      </c>
      <c r="R106">
        <v>12.030947775628629</v>
      </c>
      <c r="S106">
        <v>12.495164410058029</v>
      </c>
      <c r="T106" s="6">
        <f t="shared" si="6"/>
        <v>24.526112185686657</v>
      </c>
      <c r="U106" s="6">
        <v>10.96491228070175</v>
      </c>
      <c r="V106" s="6">
        <v>24.528914879792069</v>
      </c>
      <c r="W106" s="6">
        <f t="shared" si="7"/>
        <v>35.493827160493822</v>
      </c>
      <c r="X106" s="6">
        <v>13.095450490633359</v>
      </c>
      <c r="Y106" s="6">
        <v>25.414808206958071</v>
      </c>
      <c r="Z106" s="6">
        <f t="shared" si="8"/>
        <v>38.510258697591432</v>
      </c>
      <c r="AA106" s="6">
        <v>13.09965172452533</v>
      </c>
      <c r="AB106" s="6">
        <v>27.086844174811809</v>
      </c>
      <c r="AC106" s="6">
        <f t="shared" si="9"/>
        <v>40.186495899337139</v>
      </c>
      <c r="AD106" s="6">
        <v>11.48985507246377</v>
      </c>
      <c r="AE106" s="6">
        <v>27.810628019323669</v>
      </c>
      <c r="AF106" s="6">
        <f t="shared" si="10"/>
        <v>39.300483091787441</v>
      </c>
      <c r="AG106" s="6">
        <v>10.303816019390119</v>
      </c>
      <c r="AH106" s="6">
        <v>24.821036018262781</v>
      </c>
      <c r="AI106" s="6">
        <f t="shared" si="11"/>
        <v>35.1248520376529</v>
      </c>
      <c r="AJ106">
        <v>51.060720803564941</v>
      </c>
      <c r="AK106" s="3">
        <v>0</v>
      </c>
      <c r="AL106" s="6">
        <v>0</v>
      </c>
      <c r="AM106" s="6">
        <v>0</v>
      </c>
      <c r="AN106">
        <v>175.89371330437299</v>
      </c>
      <c r="AO106">
        <v>0</v>
      </c>
      <c r="AP106">
        <v>0</v>
      </c>
      <c r="AQ106">
        <v>0</v>
      </c>
      <c r="AR106">
        <v>57.946669744743247</v>
      </c>
      <c r="AS106">
        <v>141.01402798681471</v>
      </c>
      <c r="AT106">
        <v>88.711859486712541</v>
      </c>
      <c r="AU106">
        <v>62.909953536684618</v>
      </c>
      <c r="AV106">
        <v>52.363962602106149</v>
      </c>
      <c r="AW106">
        <v>186.96799298982771</v>
      </c>
      <c r="AX106">
        <v>285.84801733010403</v>
      </c>
      <c r="AY106">
        <v>152.88607036909039</v>
      </c>
      <c r="AZ106">
        <v>51.176493336927429</v>
      </c>
      <c r="BA106">
        <v>194.61034006698671</v>
      </c>
      <c r="BB106">
        <v>236.25685411119531</v>
      </c>
      <c r="BC106">
        <v>121.39994926779001</v>
      </c>
      <c r="BD106">
        <v>40.136625898519142</v>
      </c>
      <c r="BE106">
        <v>176.53282907336521</v>
      </c>
      <c r="BF106">
        <v>124.46278893986251</v>
      </c>
      <c r="BG106">
        <v>70.504047090378322</v>
      </c>
      <c r="BH106">
        <v>0.74305154171327947</v>
      </c>
      <c r="BI106">
        <v>0.1025283855772985</v>
      </c>
      <c r="BJ106">
        <v>0.72012205060270384</v>
      </c>
      <c r="BK106">
        <v>8.4285002185524302E-2</v>
      </c>
      <c r="BL106">
        <v>0.71278100914825215</v>
      </c>
      <c r="BM106">
        <v>9.63876910738828E-2</v>
      </c>
      <c r="BN106">
        <v>0.71058111248174616</v>
      </c>
      <c r="BO106">
        <v>0.1071949280459957</v>
      </c>
      <c r="BP106">
        <v>0.69722640190692753</v>
      </c>
      <c r="BQ106">
        <v>0.1166997298159255</v>
      </c>
      <c r="BR106">
        <v>0.6962954489509825</v>
      </c>
      <c r="BS106">
        <v>0.1192053327689391</v>
      </c>
    </row>
    <row r="107" spans="1:71" x14ac:dyDescent="0.3">
      <c r="A107" t="s">
        <v>574</v>
      </c>
      <c r="B107" t="s">
        <v>76</v>
      </c>
      <c r="C107" t="s">
        <v>163</v>
      </c>
      <c r="D107" t="s">
        <v>129</v>
      </c>
      <c r="E107" s="2">
        <v>43011</v>
      </c>
      <c r="F107" s="2">
        <v>0.6569444444430701</v>
      </c>
      <c r="G107">
        <v>90</v>
      </c>
      <c r="H107" s="2">
        <v>43047</v>
      </c>
      <c r="I107" s="2">
        <v>0.6687500000007276</v>
      </c>
      <c r="J107" t="s">
        <v>358</v>
      </c>
      <c r="K107">
        <v>128</v>
      </c>
      <c r="L107" t="s">
        <v>177</v>
      </c>
      <c r="M107" t="s">
        <v>123</v>
      </c>
      <c r="N107" t="s">
        <v>579</v>
      </c>
      <c r="O107" t="s">
        <v>580</v>
      </c>
      <c r="P107" t="s">
        <v>581</v>
      </c>
      <c r="Q107" t="s">
        <v>199</v>
      </c>
      <c r="R107">
        <v>12.030947775628629</v>
      </c>
      <c r="S107">
        <v>12.495164410058029</v>
      </c>
      <c r="T107" s="6">
        <f t="shared" si="6"/>
        <v>24.526112185686657</v>
      </c>
      <c r="U107" s="6">
        <v>10.96491228070175</v>
      </c>
      <c r="V107" s="6">
        <v>24.528914879792069</v>
      </c>
      <c r="W107" s="6">
        <f t="shared" si="7"/>
        <v>35.493827160493822</v>
      </c>
      <c r="X107" s="6">
        <v>13.095450490633359</v>
      </c>
      <c r="Y107" s="6">
        <v>25.414808206958071</v>
      </c>
      <c r="Z107" s="6">
        <f t="shared" si="8"/>
        <v>38.510258697591432</v>
      </c>
      <c r="AA107" s="6">
        <v>13.09965172452533</v>
      </c>
      <c r="AB107" s="6">
        <v>27.086844174811809</v>
      </c>
      <c r="AC107" s="6">
        <f t="shared" si="9"/>
        <v>40.186495899337139</v>
      </c>
      <c r="AD107" s="6">
        <v>11.48985507246377</v>
      </c>
      <c r="AE107" s="6">
        <v>27.810628019323669</v>
      </c>
      <c r="AF107" s="6">
        <f t="shared" si="10"/>
        <v>39.300483091787441</v>
      </c>
      <c r="AG107" s="6">
        <v>10.303816019390119</v>
      </c>
      <c r="AH107" s="6">
        <v>24.821036018262781</v>
      </c>
      <c r="AI107" s="6">
        <f t="shared" si="11"/>
        <v>35.1248520376529</v>
      </c>
      <c r="AJ107">
        <v>51.060720803564941</v>
      </c>
      <c r="AK107" s="3">
        <v>0</v>
      </c>
      <c r="AL107" s="6">
        <v>0</v>
      </c>
      <c r="AM107" s="6">
        <v>0</v>
      </c>
      <c r="AN107">
        <v>175.89371330437271</v>
      </c>
      <c r="AO107">
        <v>0</v>
      </c>
      <c r="AP107">
        <v>0</v>
      </c>
      <c r="AQ107">
        <v>0</v>
      </c>
      <c r="AR107">
        <v>57.946669744743247</v>
      </c>
      <c r="AS107">
        <v>141.01402798681471</v>
      </c>
      <c r="AT107">
        <v>88.711859486712541</v>
      </c>
      <c r="AU107">
        <v>62.909953536684618</v>
      </c>
      <c r="AV107">
        <v>52.363962602106149</v>
      </c>
      <c r="AW107">
        <v>186.96799298982771</v>
      </c>
      <c r="AX107">
        <v>285.84801733010403</v>
      </c>
      <c r="AY107">
        <v>152.88607036909039</v>
      </c>
      <c r="AZ107">
        <v>51.176493336927429</v>
      </c>
      <c r="BA107">
        <v>194.61034006698671</v>
      </c>
      <c r="BB107">
        <v>236.25685411119531</v>
      </c>
      <c r="BC107">
        <v>121.39994926779001</v>
      </c>
      <c r="BD107">
        <v>40.136625898519142</v>
      </c>
      <c r="BE107">
        <v>176.53282907336521</v>
      </c>
      <c r="BF107">
        <v>124.46278893986251</v>
      </c>
      <c r="BG107">
        <v>70.504047090378322</v>
      </c>
      <c r="BH107">
        <v>0.74305154171327947</v>
      </c>
      <c r="BI107">
        <v>0.1025283855772985</v>
      </c>
      <c r="BJ107">
        <v>0.72012205060270384</v>
      </c>
      <c r="BK107">
        <v>8.4285002185524302E-2</v>
      </c>
      <c r="BL107">
        <v>0.71278100914825215</v>
      </c>
      <c r="BM107">
        <v>9.63876910738828E-2</v>
      </c>
      <c r="BN107">
        <v>0.71058111248174616</v>
      </c>
      <c r="BO107">
        <v>0.1071949280459957</v>
      </c>
      <c r="BP107">
        <v>0.69722640190692753</v>
      </c>
      <c r="BQ107">
        <v>0.1166997298159255</v>
      </c>
      <c r="BR107">
        <v>0.6962954489509825</v>
      </c>
      <c r="BS107">
        <v>0.1192053327689391</v>
      </c>
    </row>
    <row r="108" spans="1:71" x14ac:dyDescent="0.3">
      <c r="A108" t="s">
        <v>574</v>
      </c>
      <c r="B108" t="s">
        <v>83</v>
      </c>
      <c r="C108" t="s">
        <v>266</v>
      </c>
      <c r="D108" t="s">
        <v>68</v>
      </c>
      <c r="E108" s="2">
        <v>43011</v>
      </c>
      <c r="F108" s="2">
        <v>0.73402777777664596</v>
      </c>
      <c r="G108">
        <v>94</v>
      </c>
      <c r="H108" s="2">
        <v>43047</v>
      </c>
      <c r="I108" s="2">
        <v>0.65138888888759539</v>
      </c>
      <c r="J108" t="s">
        <v>358</v>
      </c>
      <c r="K108">
        <v>171</v>
      </c>
      <c r="L108" t="s">
        <v>157</v>
      </c>
      <c r="M108" t="s">
        <v>123</v>
      </c>
      <c r="N108" t="s">
        <v>582</v>
      </c>
      <c r="O108" t="s">
        <v>583</v>
      </c>
      <c r="P108" t="s">
        <v>584</v>
      </c>
      <c r="R108">
        <v>12.030947775628629</v>
      </c>
      <c r="S108">
        <v>12.495164410058029</v>
      </c>
      <c r="T108" s="6">
        <f t="shared" si="6"/>
        <v>24.526112185686657</v>
      </c>
      <c r="U108" s="6">
        <v>10.96491228070175</v>
      </c>
      <c r="V108" s="6">
        <v>24.528914879792069</v>
      </c>
      <c r="W108" s="6">
        <f t="shared" si="7"/>
        <v>35.493827160493822</v>
      </c>
      <c r="X108" s="6">
        <v>13.095450490633359</v>
      </c>
      <c r="Y108" s="6">
        <v>25.414808206958071</v>
      </c>
      <c r="Z108" s="6">
        <f t="shared" si="8"/>
        <v>38.510258697591432</v>
      </c>
      <c r="AA108" s="6">
        <v>13.09965172452533</v>
      </c>
      <c r="AB108" s="6">
        <v>27.086844174811809</v>
      </c>
      <c r="AC108" s="6">
        <f t="shared" si="9"/>
        <v>40.186495899337139</v>
      </c>
      <c r="AD108" s="6">
        <v>11.48985507246377</v>
      </c>
      <c r="AE108" s="6">
        <v>27.810628019323669</v>
      </c>
      <c r="AF108" s="6">
        <f t="shared" si="10"/>
        <v>39.300483091787441</v>
      </c>
      <c r="AG108" s="6">
        <v>10.303816019390119</v>
      </c>
      <c r="AH108" s="6">
        <v>24.821036018262781</v>
      </c>
      <c r="AI108" s="6">
        <f t="shared" si="11"/>
        <v>35.1248520376529</v>
      </c>
      <c r="AJ108">
        <v>51.060720803564941</v>
      </c>
      <c r="AK108" s="3">
        <v>0</v>
      </c>
      <c r="AL108" s="6">
        <v>0</v>
      </c>
      <c r="AM108">
        <v>0</v>
      </c>
      <c r="AN108">
        <v>175.89371330437271</v>
      </c>
      <c r="AO108">
        <v>0</v>
      </c>
      <c r="AP108">
        <v>0</v>
      </c>
      <c r="AQ108">
        <v>0</v>
      </c>
      <c r="AR108">
        <v>57.946669744743247</v>
      </c>
      <c r="AS108">
        <v>141.01402798681471</v>
      </c>
      <c r="AT108">
        <v>88.711859486712541</v>
      </c>
      <c r="AU108">
        <v>62.909953536684618</v>
      </c>
      <c r="AV108">
        <v>52.363962602106149</v>
      </c>
      <c r="AW108">
        <v>186.96799298982771</v>
      </c>
      <c r="AX108">
        <v>285.84801733010403</v>
      </c>
      <c r="AY108">
        <v>152.88607036909039</v>
      </c>
      <c r="AZ108">
        <v>51.176493336927429</v>
      </c>
      <c r="BA108">
        <v>194.61034006698671</v>
      </c>
      <c r="BB108">
        <v>236.25685411119531</v>
      </c>
      <c r="BC108">
        <v>121.39994926779001</v>
      </c>
      <c r="BD108">
        <v>40.136625898519142</v>
      </c>
      <c r="BE108">
        <v>176.53282907336521</v>
      </c>
      <c r="BF108">
        <v>124.46278893986251</v>
      </c>
      <c r="BG108">
        <v>70.504047090378322</v>
      </c>
      <c r="BH108">
        <v>0.74305154171327947</v>
      </c>
      <c r="BI108">
        <v>0.1025283855772985</v>
      </c>
      <c r="BJ108">
        <v>0.72012205060270384</v>
      </c>
      <c r="BK108">
        <v>8.4285002185524302E-2</v>
      </c>
      <c r="BL108">
        <v>0.71278100914825215</v>
      </c>
      <c r="BM108">
        <v>9.63876910738828E-2</v>
      </c>
      <c r="BN108">
        <v>0.71058111248174616</v>
      </c>
      <c r="BO108">
        <v>0.1071949280459957</v>
      </c>
      <c r="BP108">
        <v>0.69722640190692753</v>
      </c>
      <c r="BQ108">
        <v>0.1166997298159255</v>
      </c>
      <c r="BR108">
        <v>0.6962954489509825</v>
      </c>
      <c r="BS108">
        <v>0.1192053327689391</v>
      </c>
    </row>
    <row r="109" spans="1:71" x14ac:dyDescent="0.3">
      <c r="A109" t="s">
        <v>585</v>
      </c>
      <c r="B109" t="s">
        <v>66</v>
      </c>
      <c r="C109" t="s">
        <v>175</v>
      </c>
      <c r="D109" t="s">
        <v>235</v>
      </c>
      <c r="E109" s="2">
        <v>42979</v>
      </c>
      <c r="F109" s="2">
        <v>0.43194444444452529</v>
      </c>
      <c r="G109">
        <v>95</v>
      </c>
      <c r="H109" s="2">
        <v>43010</v>
      </c>
      <c r="I109" s="2">
        <v>0.35902777777664602</v>
      </c>
      <c r="J109" t="s">
        <v>96</v>
      </c>
      <c r="K109">
        <v>80</v>
      </c>
      <c r="L109" t="s">
        <v>177</v>
      </c>
      <c r="M109" t="s">
        <v>262</v>
      </c>
      <c r="N109" t="s">
        <v>586</v>
      </c>
      <c r="O109" t="s">
        <v>587</v>
      </c>
      <c r="P109" t="s">
        <v>588</v>
      </c>
      <c r="R109">
        <v>22.376009227220301</v>
      </c>
      <c r="S109">
        <v>1.460976547481738</v>
      </c>
      <c r="T109" s="6">
        <f t="shared" si="6"/>
        <v>23.83698577470204</v>
      </c>
      <c r="U109" s="6">
        <v>24.139051332033791</v>
      </c>
      <c r="V109" s="6">
        <v>5.1007147498375556</v>
      </c>
      <c r="W109" s="6">
        <f t="shared" si="7"/>
        <v>29.239766081871345</v>
      </c>
      <c r="X109" s="6">
        <v>27.968290727709981</v>
      </c>
      <c r="Y109" s="6">
        <v>4.3288500935245384</v>
      </c>
      <c r="Z109" s="6">
        <f t="shared" si="8"/>
        <v>32.297140821234521</v>
      </c>
      <c r="AA109" s="6">
        <v>28.060909141990219</v>
      </c>
      <c r="AB109" s="6">
        <v>3.067932797662527</v>
      </c>
      <c r="AC109" s="6">
        <f t="shared" si="9"/>
        <v>31.128841939652744</v>
      </c>
      <c r="AD109" s="6">
        <v>29.047085634825599</v>
      </c>
      <c r="AE109" s="6">
        <v>2.2017072888099189</v>
      </c>
      <c r="AF109" s="6">
        <f t="shared" si="10"/>
        <v>31.24879292363552</v>
      </c>
      <c r="AG109" s="6">
        <v>26.851669249190032</v>
      </c>
      <c r="AH109" s="6">
        <v>2.12424285110579</v>
      </c>
      <c r="AI109" s="6">
        <f t="shared" si="11"/>
        <v>28.975912100295822</v>
      </c>
      <c r="AJ109">
        <v>9.9866394000636607</v>
      </c>
      <c r="AK109" s="3">
        <v>91.545292261739007</v>
      </c>
      <c r="AL109">
        <v>44.806512710283442</v>
      </c>
      <c r="AM109">
        <v>48.944638881239491</v>
      </c>
      <c r="AN109">
        <v>20.698115530780122</v>
      </c>
      <c r="AO109">
        <v>164.83968302159801</v>
      </c>
      <c r="AP109">
        <v>182.75740418219351</v>
      </c>
      <c r="AQ109">
        <v>110.8697862263226</v>
      </c>
      <c r="AR109">
        <v>29.19481276228872</v>
      </c>
      <c r="AS109">
        <v>133.91035240208441</v>
      </c>
      <c r="AT109">
        <v>117.14229418027131</v>
      </c>
      <c r="AU109">
        <v>87.478146445717115</v>
      </c>
      <c r="AV109">
        <v>29.745151761487222</v>
      </c>
      <c r="AW109">
        <v>211.17205187407859</v>
      </c>
      <c r="AX109">
        <v>246.17362588428369</v>
      </c>
      <c r="AY109">
        <v>116.57490832692029</v>
      </c>
      <c r="AZ109">
        <v>29.608482209575321</v>
      </c>
      <c r="BA109">
        <v>143.3952535388008</v>
      </c>
      <c r="BB109">
        <v>113.061611459148</v>
      </c>
      <c r="BC109">
        <v>78.846132399044237</v>
      </c>
      <c r="BD109">
        <v>25.882711590289329</v>
      </c>
      <c r="BE109">
        <v>122.9515680450631</v>
      </c>
      <c r="BF109">
        <v>82.400613530997475</v>
      </c>
      <c r="BG109">
        <v>67.018757744347582</v>
      </c>
      <c r="BH109">
        <v>0.80985145434049421</v>
      </c>
      <c r="BI109">
        <v>6.3971780158847899E-2</v>
      </c>
      <c r="BJ109">
        <v>0.79338813462333213</v>
      </c>
      <c r="BK109">
        <v>8.4534742152752002E-2</v>
      </c>
      <c r="BL109">
        <v>0.80846472469303321</v>
      </c>
      <c r="BM109">
        <v>7.6325322770865803E-2</v>
      </c>
      <c r="BN109">
        <v>0.80871876929198971</v>
      </c>
      <c r="BO109">
        <v>7.1005075622374195E-2</v>
      </c>
      <c r="BP109">
        <v>0.81370066787109419</v>
      </c>
      <c r="BQ109">
        <v>6.94551263897146E-2</v>
      </c>
      <c r="BR109">
        <v>0.81017832024534819</v>
      </c>
      <c r="BS109">
        <v>7.6008105987651606E-2</v>
      </c>
    </row>
    <row r="110" spans="1:71" x14ac:dyDescent="0.3">
      <c r="A110" t="s">
        <v>585</v>
      </c>
      <c r="B110" t="s">
        <v>76</v>
      </c>
      <c r="C110" t="s">
        <v>309</v>
      </c>
      <c r="D110" t="s">
        <v>164</v>
      </c>
      <c r="E110" s="2">
        <v>42979</v>
      </c>
      <c r="F110" s="2">
        <v>0.54583333333357587</v>
      </c>
      <c r="G110">
        <v>95</v>
      </c>
      <c r="H110" s="2">
        <v>43010</v>
      </c>
      <c r="I110" s="2">
        <v>0.37847222222262639</v>
      </c>
      <c r="J110" t="s">
        <v>96</v>
      </c>
      <c r="K110">
        <v>233</v>
      </c>
      <c r="L110" t="s">
        <v>177</v>
      </c>
      <c r="M110" t="s">
        <v>71</v>
      </c>
      <c r="N110" t="s">
        <v>589</v>
      </c>
      <c r="O110" t="s">
        <v>590</v>
      </c>
      <c r="P110" t="s">
        <v>591</v>
      </c>
      <c r="R110">
        <v>22.376009227220301</v>
      </c>
      <c r="S110">
        <v>1.460976547481738</v>
      </c>
      <c r="T110" s="6">
        <f t="shared" si="6"/>
        <v>23.83698577470204</v>
      </c>
      <c r="U110" s="6">
        <v>24.139051332033791</v>
      </c>
      <c r="V110" s="6">
        <v>5.1007147498375556</v>
      </c>
      <c r="W110" s="6">
        <f t="shared" si="7"/>
        <v>29.239766081871345</v>
      </c>
      <c r="X110" s="6">
        <v>27.968290727709981</v>
      </c>
      <c r="Y110" s="6">
        <v>4.3288500935245384</v>
      </c>
      <c r="Z110" s="6">
        <f t="shared" si="8"/>
        <v>32.297140821234521</v>
      </c>
      <c r="AA110" s="6">
        <v>28.060909141990219</v>
      </c>
      <c r="AB110" s="6">
        <v>3.067932797662527</v>
      </c>
      <c r="AC110" s="6">
        <f t="shared" si="9"/>
        <v>31.128841939652744</v>
      </c>
      <c r="AD110" s="6">
        <v>29.047085634825599</v>
      </c>
      <c r="AE110" s="6">
        <v>2.2017072888099189</v>
      </c>
      <c r="AF110" s="6">
        <f t="shared" si="10"/>
        <v>31.24879292363552</v>
      </c>
      <c r="AG110" s="6">
        <v>26.851669249190032</v>
      </c>
      <c r="AH110" s="6">
        <v>2.12424285110579</v>
      </c>
      <c r="AI110" s="6">
        <f t="shared" si="11"/>
        <v>28.975912100295822</v>
      </c>
      <c r="AJ110">
        <v>9.9866394000636607</v>
      </c>
      <c r="AK110" s="3">
        <v>91.545292261739007</v>
      </c>
      <c r="AL110">
        <v>44.806512710283442</v>
      </c>
      <c r="AM110">
        <v>48.944638881239491</v>
      </c>
      <c r="AN110">
        <v>20.698115530780122</v>
      </c>
      <c r="AO110">
        <v>164.83968302159801</v>
      </c>
      <c r="AP110">
        <v>182.75740418219351</v>
      </c>
      <c r="AQ110">
        <v>110.8697862263226</v>
      </c>
      <c r="AR110">
        <v>29.19481276228872</v>
      </c>
      <c r="AS110">
        <v>133.91035240208441</v>
      </c>
      <c r="AT110">
        <v>117.14229418027131</v>
      </c>
      <c r="AU110">
        <v>87.478146445717115</v>
      </c>
      <c r="AV110">
        <v>29.745151761487222</v>
      </c>
      <c r="AW110">
        <v>211.17205187407859</v>
      </c>
      <c r="AX110">
        <v>246.17362588428369</v>
      </c>
      <c r="AY110">
        <v>116.57490832692029</v>
      </c>
      <c r="AZ110">
        <v>29.608482209575321</v>
      </c>
      <c r="BA110">
        <v>143.3952535388008</v>
      </c>
      <c r="BB110">
        <v>113.061611459148</v>
      </c>
      <c r="BC110">
        <v>78.846132399044237</v>
      </c>
      <c r="BD110">
        <v>25.882711590289329</v>
      </c>
      <c r="BE110">
        <v>122.9515680450631</v>
      </c>
      <c r="BF110">
        <v>82.400613530997475</v>
      </c>
      <c r="BG110">
        <v>67.018757744347582</v>
      </c>
      <c r="BH110">
        <v>0.80985145434049421</v>
      </c>
      <c r="BI110">
        <v>6.3971780158847899E-2</v>
      </c>
      <c r="BJ110">
        <v>0.79338813462333213</v>
      </c>
      <c r="BK110">
        <v>8.4534742152752002E-2</v>
      </c>
      <c r="BL110">
        <v>0.80846472469303321</v>
      </c>
      <c r="BM110">
        <v>7.6325322770865803E-2</v>
      </c>
      <c r="BN110">
        <v>0.80871876929198971</v>
      </c>
      <c r="BO110">
        <v>7.1005075622374195E-2</v>
      </c>
      <c r="BP110">
        <v>0.81370066787109419</v>
      </c>
      <c r="BQ110">
        <v>6.94551263897146E-2</v>
      </c>
      <c r="BR110">
        <v>0.81017832024534819</v>
      </c>
      <c r="BS110">
        <v>7.6008105987651606E-2</v>
      </c>
    </row>
    <row r="111" spans="1:71" x14ac:dyDescent="0.3">
      <c r="A111" t="s">
        <v>585</v>
      </c>
      <c r="B111" t="s">
        <v>83</v>
      </c>
      <c r="C111" t="s">
        <v>376</v>
      </c>
      <c r="D111" t="s">
        <v>103</v>
      </c>
      <c r="E111" s="2">
        <v>42979</v>
      </c>
      <c r="F111" s="2">
        <v>0.67847222222189885</v>
      </c>
      <c r="G111">
        <v>93</v>
      </c>
      <c r="H111" s="2">
        <v>43010</v>
      </c>
      <c r="I111" s="2">
        <v>0.33819444444452529</v>
      </c>
      <c r="J111" t="s">
        <v>396</v>
      </c>
      <c r="K111">
        <v>171</v>
      </c>
      <c r="L111" t="s">
        <v>157</v>
      </c>
      <c r="M111" t="s">
        <v>123</v>
      </c>
      <c r="N111" t="s">
        <v>592</v>
      </c>
      <c r="O111" t="s">
        <v>593</v>
      </c>
      <c r="P111" t="s">
        <v>594</v>
      </c>
      <c r="R111">
        <v>22.376009227220301</v>
      </c>
      <c r="S111">
        <v>1.460976547481738</v>
      </c>
      <c r="T111" s="6">
        <f t="shared" si="6"/>
        <v>23.83698577470204</v>
      </c>
      <c r="U111" s="6">
        <v>24.139051332033791</v>
      </c>
      <c r="V111" s="6">
        <v>5.1007147498375556</v>
      </c>
      <c r="W111" s="6">
        <f t="shared" si="7"/>
        <v>29.239766081871345</v>
      </c>
      <c r="X111" s="6">
        <v>27.968290727709981</v>
      </c>
      <c r="Y111" s="6">
        <v>4.3288500935245384</v>
      </c>
      <c r="Z111" s="6">
        <f t="shared" si="8"/>
        <v>32.297140821234521</v>
      </c>
      <c r="AA111" s="6">
        <v>28.060909141990219</v>
      </c>
      <c r="AB111" s="6">
        <v>3.067932797662527</v>
      </c>
      <c r="AC111" s="6">
        <f t="shared" si="9"/>
        <v>31.128841939652744</v>
      </c>
      <c r="AD111" s="6">
        <v>29.047085634825599</v>
      </c>
      <c r="AE111" s="6">
        <v>2.2017072888099189</v>
      </c>
      <c r="AF111" s="6">
        <f t="shared" si="10"/>
        <v>31.24879292363552</v>
      </c>
      <c r="AG111" s="6">
        <v>26.851669249190032</v>
      </c>
      <c r="AH111" s="6">
        <v>2.12424285110579</v>
      </c>
      <c r="AI111" s="6">
        <f t="shared" si="11"/>
        <v>28.975912100295822</v>
      </c>
      <c r="AJ111">
        <v>9.9866394000636607</v>
      </c>
      <c r="AK111" s="3">
        <v>91.545292261739007</v>
      </c>
      <c r="AL111">
        <v>44.806512710283442</v>
      </c>
      <c r="AM111">
        <v>48.944638881239491</v>
      </c>
      <c r="AN111">
        <v>20.698115530780122</v>
      </c>
      <c r="AO111">
        <v>164.83968302159801</v>
      </c>
      <c r="AP111">
        <v>182.75740418219351</v>
      </c>
      <c r="AQ111">
        <v>110.8697862263226</v>
      </c>
      <c r="AR111">
        <v>29.19481276228872</v>
      </c>
      <c r="AS111">
        <v>133.91035240208441</v>
      </c>
      <c r="AT111">
        <v>117.14229418027131</v>
      </c>
      <c r="AU111">
        <v>87.478146445717115</v>
      </c>
      <c r="AV111">
        <v>29.745151761487222</v>
      </c>
      <c r="AW111">
        <v>211.17205187407859</v>
      </c>
      <c r="AX111">
        <v>246.17362588428369</v>
      </c>
      <c r="AY111">
        <v>116.57490832692029</v>
      </c>
      <c r="AZ111">
        <v>29.608482209575321</v>
      </c>
      <c r="BA111">
        <v>143.3952535388008</v>
      </c>
      <c r="BB111">
        <v>113.061611459148</v>
      </c>
      <c r="BC111">
        <v>78.846132399044237</v>
      </c>
      <c r="BD111">
        <v>25.882711590289329</v>
      </c>
      <c r="BE111">
        <v>122.9515680450631</v>
      </c>
      <c r="BF111">
        <v>82.400613530997475</v>
      </c>
      <c r="BG111">
        <v>67.018757744347582</v>
      </c>
      <c r="BH111">
        <v>0.80985145434049421</v>
      </c>
      <c r="BI111">
        <v>6.3971780158847899E-2</v>
      </c>
      <c r="BJ111">
        <v>0.79338813462333213</v>
      </c>
      <c r="BK111">
        <v>8.4534742152752002E-2</v>
      </c>
      <c r="BL111">
        <v>0.80846472469303321</v>
      </c>
      <c r="BM111">
        <v>7.6325322770865803E-2</v>
      </c>
      <c r="BN111">
        <v>0.80871876929198971</v>
      </c>
      <c r="BO111">
        <v>7.1005075622374195E-2</v>
      </c>
      <c r="BP111">
        <v>0.81370066787109419</v>
      </c>
      <c r="BQ111">
        <v>6.94551263897146E-2</v>
      </c>
      <c r="BR111">
        <v>0.81017832024534819</v>
      </c>
      <c r="BS111">
        <v>7.6008105987651606E-2</v>
      </c>
    </row>
    <row r="112" spans="1:71" x14ac:dyDescent="0.3">
      <c r="A112" t="s">
        <v>595</v>
      </c>
      <c r="B112" t="s">
        <v>66</v>
      </c>
      <c r="C112" t="s">
        <v>136</v>
      </c>
      <c r="D112" t="s">
        <v>282</v>
      </c>
      <c r="E112" s="2">
        <v>42919</v>
      </c>
      <c r="F112" s="2">
        <v>0.61388888888905058</v>
      </c>
      <c r="G112">
        <v>91</v>
      </c>
      <c r="H112" s="2">
        <v>42947</v>
      </c>
      <c r="I112" s="2">
        <v>0.34097222222044371</v>
      </c>
      <c r="J112" t="s">
        <v>299</v>
      </c>
      <c r="K112">
        <v>144</v>
      </c>
      <c r="L112" t="s">
        <v>157</v>
      </c>
      <c r="M112" t="s">
        <v>248</v>
      </c>
      <c r="N112" t="s">
        <v>596</v>
      </c>
      <c r="O112" t="s">
        <v>597</v>
      </c>
      <c r="P112" t="s">
        <v>598</v>
      </c>
      <c r="R112">
        <v>27.542372881355931</v>
      </c>
      <c r="S112">
        <v>0</v>
      </c>
      <c r="T112" s="6">
        <f t="shared" si="6"/>
        <v>27.542372881355931</v>
      </c>
      <c r="U112" s="6">
        <v>30.711610486891381</v>
      </c>
      <c r="V112" s="6">
        <v>0.34196384953590619</v>
      </c>
      <c r="W112" s="6">
        <f t="shared" si="7"/>
        <v>31.053574336427285</v>
      </c>
      <c r="X112" s="6">
        <v>29.05381325730578</v>
      </c>
      <c r="Y112" s="6">
        <v>2.8421240199572351</v>
      </c>
      <c r="Z112" s="6">
        <f t="shared" si="8"/>
        <v>31.895937277263016</v>
      </c>
      <c r="AA112" s="6">
        <v>27.193475815523069</v>
      </c>
      <c r="AB112" s="6">
        <v>5.6130483689538808</v>
      </c>
      <c r="AC112" s="6">
        <f t="shared" si="9"/>
        <v>32.806524184476949</v>
      </c>
      <c r="AD112" s="6">
        <v>25.372730784086521</v>
      </c>
      <c r="AE112" s="6">
        <v>8.6867516415604467</v>
      </c>
      <c r="AF112" s="6">
        <f t="shared" si="10"/>
        <v>34.059482425646969</v>
      </c>
      <c r="AG112" s="6">
        <v>25.693426541887469</v>
      </c>
      <c r="AH112" s="6">
        <v>11.320329236667041</v>
      </c>
      <c r="AI112" s="6">
        <f t="shared" si="11"/>
        <v>37.013755778554511</v>
      </c>
      <c r="AJ112">
        <v>19.194750459799781</v>
      </c>
      <c r="AK112" s="3">
        <v>423.6685665968331</v>
      </c>
      <c r="AL112">
        <v>379.36045524117571</v>
      </c>
      <c r="AM112">
        <v>89.541798743398076</v>
      </c>
      <c r="AN112">
        <v>30.71696989665184</v>
      </c>
      <c r="AO112">
        <v>222.88983934664691</v>
      </c>
      <c r="AP112">
        <v>67.415576146705661</v>
      </c>
      <c r="AQ112">
        <v>30.24614147702729</v>
      </c>
      <c r="AR112">
        <v>32.027045172791198</v>
      </c>
      <c r="AS112">
        <v>278.70837367840278</v>
      </c>
      <c r="AT112">
        <v>389.62542120734821</v>
      </c>
      <c r="AU112">
        <v>139.7968120100083</v>
      </c>
      <c r="AV112">
        <v>42.692151276968772</v>
      </c>
      <c r="AW112">
        <v>250.92750707785561</v>
      </c>
      <c r="AX112">
        <v>354.22929453194268</v>
      </c>
      <c r="AY112">
        <v>141.1679806080549</v>
      </c>
      <c r="AZ112">
        <v>39.458858812351522</v>
      </c>
      <c r="BA112">
        <v>224.72036660467279</v>
      </c>
      <c r="BB112">
        <v>281.13688386326328</v>
      </c>
      <c r="BC112">
        <v>125.105208802831</v>
      </c>
      <c r="BD112">
        <v>55.64711461971676</v>
      </c>
      <c r="BE112">
        <v>193.73821921138139</v>
      </c>
      <c r="BF112">
        <v>277.453656606013</v>
      </c>
      <c r="BG112">
        <v>143.21059506761151</v>
      </c>
      <c r="BH112">
        <v>0.82504175087951614</v>
      </c>
      <c r="BI112">
        <v>5.8146061653597397E-2</v>
      </c>
      <c r="BJ112">
        <v>0.80975099110920512</v>
      </c>
      <c r="BK112">
        <v>4.8779588071775501E-2</v>
      </c>
      <c r="BL112">
        <v>0.79225043247832672</v>
      </c>
      <c r="BM112">
        <v>6.6766240452342904E-2</v>
      </c>
      <c r="BN112">
        <v>0.77312425761028092</v>
      </c>
      <c r="BO112">
        <v>9.1238651156597295E-2</v>
      </c>
      <c r="BP112">
        <v>0.75312216164643808</v>
      </c>
      <c r="BQ112">
        <v>0.1048658158951187</v>
      </c>
      <c r="BR112">
        <v>0.74449506173381585</v>
      </c>
      <c r="BS112">
        <v>0.1172690582043233</v>
      </c>
    </row>
    <row r="113" spans="1:71" x14ac:dyDescent="0.3">
      <c r="A113" t="s">
        <v>595</v>
      </c>
      <c r="B113" t="s">
        <v>76</v>
      </c>
      <c r="C113" t="s">
        <v>142</v>
      </c>
      <c r="D113" t="s">
        <v>235</v>
      </c>
      <c r="E113" s="2">
        <v>42919</v>
      </c>
      <c r="F113" s="2">
        <v>0.58541666666496894</v>
      </c>
      <c r="G113">
        <v>91</v>
      </c>
      <c r="H113" s="2">
        <v>42947</v>
      </c>
      <c r="I113" s="2">
        <v>0.35694444444379769</v>
      </c>
      <c r="J113" t="s">
        <v>454</v>
      </c>
      <c r="K113">
        <v>231</v>
      </c>
      <c r="L113" t="s">
        <v>87</v>
      </c>
      <c r="M113" t="s">
        <v>599</v>
      </c>
      <c r="N113" t="s">
        <v>600</v>
      </c>
      <c r="O113" t="s">
        <v>601</v>
      </c>
      <c r="P113" t="s">
        <v>602</v>
      </c>
      <c r="R113">
        <v>27.542372881355931</v>
      </c>
      <c r="S113">
        <v>0</v>
      </c>
      <c r="T113" s="6">
        <f t="shared" si="6"/>
        <v>27.542372881355931</v>
      </c>
      <c r="U113" s="6">
        <v>30.711610486891381</v>
      </c>
      <c r="V113" s="6">
        <v>0.34196384953590619</v>
      </c>
      <c r="W113" s="6">
        <f t="shared" si="7"/>
        <v>31.053574336427285</v>
      </c>
      <c r="X113" s="6">
        <v>29.05381325730578</v>
      </c>
      <c r="Y113" s="6">
        <v>2.8421240199572351</v>
      </c>
      <c r="Z113" s="6">
        <f t="shared" si="8"/>
        <v>31.895937277263016</v>
      </c>
      <c r="AA113" s="6">
        <v>27.193475815523069</v>
      </c>
      <c r="AB113" s="6">
        <v>5.6130483689538808</v>
      </c>
      <c r="AC113" s="6">
        <f t="shared" si="9"/>
        <v>32.806524184476949</v>
      </c>
      <c r="AD113" s="6">
        <v>25.372730784086521</v>
      </c>
      <c r="AE113" s="6">
        <v>8.6867516415604467</v>
      </c>
      <c r="AF113" s="6">
        <f t="shared" si="10"/>
        <v>34.059482425646969</v>
      </c>
      <c r="AG113" s="6">
        <v>25.693426541887469</v>
      </c>
      <c r="AH113" s="6">
        <v>11.320329236667041</v>
      </c>
      <c r="AI113" s="6">
        <f t="shared" si="11"/>
        <v>37.013755778554511</v>
      </c>
      <c r="AJ113">
        <v>19.194750459799781</v>
      </c>
      <c r="AK113" s="3">
        <v>423.6685665968331</v>
      </c>
      <c r="AL113">
        <v>379.36045524117571</v>
      </c>
      <c r="AM113">
        <v>89.541798743398076</v>
      </c>
      <c r="AN113">
        <v>30.71696989665184</v>
      </c>
      <c r="AO113">
        <v>222.88983934664691</v>
      </c>
      <c r="AP113">
        <v>67.415576146705661</v>
      </c>
      <c r="AQ113">
        <v>30.24614147702729</v>
      </c>
      <c r="AR113">
        <v>32.027045172791198</v>
      </c>
      <c r="AS113">
        <v>278.70837367840278</v>
      </c>
      <c r="AT113">
        <v>389.62542120734821</v>
      </c>
      <c r="AU113">
        <v>139.7968120100083</v>
      </c>
      <c r="AV113">
        <v>42.692151276968772</v>
      </c>
      <c r="AW113">
        <v>250.92750707785561</v>
      </c>
      <c r="AX113">
        <v>354.22929453194268</v>
      </c>
      <c r="AY113">
        <v>141.1679806080549</v>
      </c>
      <c r="AZ113">
        <v>39.458858812351522</v>
      </c>
      <c r="BA113">
        <v>224.72036660467279</v>
      </c>
      <c r="BB113">
        <v>281.13688386326328</v>
      </c>
      <c r="BC113">
        <v>125.105208802831</v>
      </c>
      <c r="BD113">
        <v>55.64711461971676</v>
      </c>
      <c r="BE113">
        <v>193.73821921138139</v>
      </c>
      <c r="BF113">
        <v>277.453656606013</v>
      </c>
      <c r="BG113">
        <v>143.21059506761151</v>
      </c>
      <c r="BH113">
        <v>0.82504175087951614</v>
      </c>
      <c r="BI113">
        <v>5.8146061653597397E-2</v>
      </c>
      <c r="BJ113">
        <v>0.80975099110920512</v>
      </c>
      <c r="BK113">
        <v>4.8779588071775501E-2</v>
      </c>
      <c r="BL113">
        <v>0.79225043247832672</v>
      </c>
      <c r="BM113">
        <v>6.6766240452342904E-2</v>
      </c>
      <c r="BN113">
        <v>0.77312425761028092</v>
      </c>
      <c r="BO113">
        <v>9.1238651156597295E-2</v>
      </c>
      <c r="BP113">
        <v>0.75312216164643808</v>
      </c>
      <c r="BQ113">
        <v>0.1048658158951187</v>
      </c>
      <c r="BR113">
        <v>0.74449506173381585</v>
      </c>
      <c r="BS113">
        <v>0.1172690582043233</v>
      </c>
    </row>
    <row r="114" spans="1:71" x14ac:dyDescent="0.3">
      <c r="A114" t="s">
        <v>595</v>
      </c>
      <c r="B114" t="s">
        <v>83</v>
      </c>
      <c r="C114" t="s">
        <v>149</v>
      </c>
      <c r="D114" t="s">
        <v>241</v>
      </c>
      <c r="E114" s="2">
        <v>42919</v>
      </c>
      <c r="F114" s="2">
        <v>0.47847222222117131</v>
      </c>
      <c r="G114">
        <v>93</v>
      </c>
      <c r="H114" s="2">
        <v>42947</v>
      </c>
      <c r="I114" s="2">
        <v>0.37708333333284833</v>
      </c>
      <c r="J114" t="s">
        <v>122</v>
      </c>
      <c r="K114">
        <v>131</v>
      </c>
      <c r="L114" t="s">
        <v>157</v>
      </c>
      <c r="M114" t="s">
        <v>599</v>
      </c>
      <c r="N114" t="s">
        <v>603</v>
      </c>
      <c r="O114" t="s">
        <v>604</v>
      </c>
      <c r="P114" t="s">
        <v>605</v>
      </c>
      <c r="R114">
        <v>27.542372881355931</v>
      </c>
      <c r="S114">
        <v>0</v>
      </c>
      <c r="T114" s="6">
        <f t="shared" si="6"/>
        <v>27.542372881355931</v>
      </c>
      <c r="U114" s="6">
        <v>30.711610486891381</v>
      </c>
      <c r="V114" s="6">
        <v>0.34196384953590619</v>
      </c>
      <c r="W114" s="6">
        <f t="shared" si="7"/>
        <v>31.053574336427285</v>
      </c>
      <c r="X114" s="6">
        <v>29.05381325730578</v>
      </c>
      <c r="Y114" s="6">
        <v>2.8421240199572351</v>
      </c>
      <c r="Z114" s="6">
        <f t="shared" si="8"/>
        <v>31.895937277263016</v>
      </c>
      <c r="AA114" s="6">
        <v>27.193475815523069</v>
      </c>
      <c r="AB114" s="6">
        <v>5.6130483689538808</v>
      </c>
      <c r="AC114" s="6">
        <f t="shared" si="9"/>
        <v>32.806524184476949</v>
      </c>
      <c r="AD114" s="6">
        <v>25.372730784086521</v>
      </c>
      <c r="AE114" s="6">
        <v>8.6867516415604467</v>
      </c>
      <c r="AF114" s="6">
        <f t="shared" si="10"/>
        <v>34.059482425646969</v>
      </c>
      <c r="AG114" s="6">
        <v>25.693426541887469</v>
      </c>
      <c r="AH114" s="6">
        <v>11.320329236667041</v>
      </c>
      <c r="AI114" s="6">
        <f t="shared" si="11"/>
        <v>37.013755778554511</v>
      </c>
      <c r="AJ114">
        <v>19.194750459799781</v>
      </c>
      <c r="AK114" s="3">
        <v>423.6685665968331</v>
      </c>
      <c r="AL114">
        <v>379.36045524117571</v>
      </c>
      <c r="AM114">
        <v>89.541798743398076</v>
      </c>
      <c r="AN114">
        <v>30.71696989665184</v>
      </c>
      <c r="AO114">
        <v>222.88983934664691</v>
      </c>
      <c r="AP114">
        <v>67.415576146705661</v>
      </c>
      <c r="AQ114">
        <v>30.24614147702729</v>
      </c>
      <c r="AR114">
        <v>32.027045172791198</v>
      </c>
      <c r="AS114">
        <v>278.70837367840278</v>
      </c>
      <c r="AT114">
        <v>389.62542120734821</v>
      </c>
      <c r="AU114">
        <v>139.7968120100083</v>
      </c>
      <c r="AV114">
        <v>42.692151276968772</v>
      </c>
      <c r="AW114">
        <v>250.92750707785561</v>
      </c>
      <c r="AX114">
        <v>354.22929453194268</v>
      </c>
      <c r="AY114">
        <v>141.1679806080549</v>
      </c>
      <c r="AZ114">
        <v>39.458858812351522</v>
      </c>
      <c r="BA114">
        <v>224.72036660467279</v>
      </c>
      <c r="BB114">
        <v>281.13688386326328</v>
      </c>
      <c r="BC114">
        <v>125.105208802831</v>
      </c>
      <c r="BD114">
        <v>55.64711461971676</v>
      </c>
      <c r="BE114">
        <v>193.73821921138139</v>
      </c>
      <c r="BF114">
        <v>277.453656606013</v>
      </c>
      <c r="BG114">
        <v>143.21059506761151</v>
      </c>
      <c r="BH114">
        <v>0.82504175087951614</v>
      </c>
      <c r="BI114">
        <v>5.8146061653597397E-2</v>
      </c>
      <c r="BJ114">
        <v>0.80975099110920512</v>
      </c>
      <c r="BK114">
        <v>4.8779588071775501E-2</v>
      </c>
      <c r="BL114">
        <v>0.79225043247832672</v>
      </c>
      <c r="BM114">
        <v>6.6766240452342904E-2</v>
      </c>
      <c r="BN114">
        <v>0.77312425761028092</v>
      </c>
      <c r="BO114">
        <v>9.1238651156597295E-2</v>
      </c>
      <c r="BP114">
        <v>0.75312216164643808</v>
      </c>
      <c r="BQ114">
        <v>0.1048658158951187</v>
      </c>
      <c r="BR114">
        <v>0.74449506173381585</v>
      </c>
      <c r="BS114">
        <v>0.1172690582043233</v>
      </c>
    </row>
    <row r="115" spans="1:71" x14ac:dyDescent="0.3">
      <c r="A115" t="s">
        <v>606</v>
      </c>
      <c r="B115" t="s">
        <v>66</v>
      </c>
      <c r="C115" t="s">
        <v>363</v>
      </c>
      <c r="D115" t="s">
        <v>235</v>
      </c>
      <c r="E115" s="2">
        <v>43228</v>
      </c>
      <c r="F115" s="2">
        <v>0.38611111111094942</v>
      </c>
      <c r="G115">
        <v>97</v>
      </c>
      <c r="H115" s="2">
        <v>43262</v>
      </c>
      <c r="I115" s="2">
        <v>0.3312499999992724</v>
      </c>
      <c r="J115" t="s">
        <v>86</v>
      </c>
      <c r="K115">
        <v>186</v>
      </c>
      <c r="L115" t="s">
        <v>157</v>
      </c>
      <c r="M115" t="s">
        <v>123</v>
      </c>
      <c r="N115" t="s">
        <v>607</v>
      </c>
      <c r="O115" t="s">
        <v>608</v>
      </c>
      <c r="P115" t="s">
        <v>609</v>
      </c>
      <c r="R115">
        <v>36.801541425818883</v>
      </c>
      <c r="S115">
        <v>0</v>
      </c>
      <c r="T115" s="6">
        <f t="shared" si="6"/>
        <v>36.801541425818883</v>
      </c>
      <c r="U115" s="6">
        <v>37.95406417983385</v>
      </c>
      <c r="V115" s="6">
        <v>0</v>
      </c>
      <c r="W115" s="6">
        <f t="shared" si="7"/>
        <v>37.95406417983385</v>
      </c>
      <c r="X115" s="6">
        <v>36.178173719376403</v>
      </c>
      <c r="Y115" s="6">
        <v>0</v>
      </c>
      <c r="Z115" s="6">
        <f t="shared" si="8"/>
        <v>36.178173719376403</v>
      </c>
      <c r="AA115" s="6">
        <v>33.948152730135533</v>
      </c>
      <c r="AB115" s="6">
        <v>0</v>
      </c>
      <c r="AC115" s="6">
        <f t="shared" si="9"/>
        <v>33.948152730135533</v>
      </c>
      <c r="AD115" s="6">
        <v>33.0256806333269</v>
      </c>
      <c r="AE115" s="6">
        <v>8.882023556671173E-2</v>
      </c>
      <c r="AF115" s="6">
        <f t="shared" si="10"/>
        <v>33.114500868893614</v>
      </c>
      <c r="AG115" s="6">
        <v>33.871786197564283</v>
      </c>
      <c r="AH115" s="6">
        <v>0.1973387460532251</v>
      </c>
      <c r="AI115" s="6">
        <f t="shared" si="11"/>
        <v>34.06912494361751</v>
      </c>
      <c r="AJ115">
        <v>7.6913230863415736</v>
      </c>
      <c r="AK115" s="3">
        <v>109.9087340877556</v>
      </c>
      <c r="AL115">
        <v>66.89588157597089</v>
      </c>
      <c r="AM115">
        <v>60.864936832552793</v>
      </c>
      <c r="AN115">
        <v>7.2173913778385241</v>
      </c>
      <c r="AO115">
        <v>92.869487831200743</v>
      </c>
      <c r="AP115">
        <v>49.664689878437343</v>
      </c>
      <c r="AQ115">
        <v>53.477940966690497</v>
      </c>
      <c r="AR115">
        <v>12.11044084954367</v>
      </c>
      <c r="AS115">
        <v>100.7415165518867</v>
      </c>
      <c r="AT115">
        <v>53.892108655195713</v>
      </c>
      <c r="AU115">
        <v>53.495431178503949</v>
      </c>
      <c r="AV115">
        <v>11.57054188556037</v>
      </c>
      <c r="AW115">
        <v>138.17794259715609</v>
      </c>
      <c r="AX115">
        <v>100.608913544228</v>
      </c>
      <c r="AY115">
        <v>72.81112430335078</v>
      </c>
      <c r="AZ115">
        <v>11.70522592339538</v>
      </c>
      <c r="BA115">
        <v>120.90512718608559</v>
      </c>
      <c r="BB115">
        <v>73.127170564344723</v>
      </c>
      <c r="BC115">
        <v>60.483101309503951</v>
      </c>
      <c r="BD115">
        <v>12.166183180421809</v>
      </c>
      <c r="BE115">
        <v>111.6404683258995</v>
      </c>
      <c r="BF115">
        <v>75.013263501978372</v>
      </c>
      <c r="BG115">
        <v>67.191820875384167</v>
      </c>
      <c r="BH115">
        <v>0.8395093109584727</v>
      </c>
      <c r="BI115">
        <v>5.7184313134972298E-2</v>
      </c>
      <c r="BJ115">
        <v>0.83614525731729317</v>
      </c>
      <c r="BK115">
        <v>6.7993886133253301E-2</v>
      </c>
      <c r="BL115">
        <v>0.83532030577431182</v>
      </c>
      <c r="BM115">
        <v>6.6681285374917201E-2</v>
      </c>
      <c r="BN115">
        <v>0.8351668120923279</v>
      </c>
      <c r="BO115">
        <v>6.8297038378062599E-2</v>
      </c>
      <c r="BP115">
        <v>0.82749885861368233</v>
      </c>
      <c r="BQ115">
        <v>8.0244025875060701E-2</v>
      </c>
      <c r="BR115">
        <v>0.81765830196391609</v>
      </c>
      <c r="BS115">
        <v>9.6060841609482098E-2</v>
      </c>
    </row>
    <row r="116" spans="1:71" x14ac:dyDescent="0.3">
      <c r="A116" t="s">
        <v>606</v>
      </c>
      <c r="B116" t="s">
        <v>76</v>
      </c>
      <c r="C116" t="s">
        <v>84</v>
      </c>
      <c r="D116" t="s">
        <v>447</v>
      </c>
      <c r="E116" s="2">
        <v>43228</v>
      </c>
      <c r="F116" s="2">
        <v>0.48194444444379769</v>
      </c>
      <c r="G116">
        <v>97</v>
      </c>
      <c r="H116" s="2">
        <v>43262</v>
      </c>
      <c r="I116" s="2">
        <v>0.31041666666715167</v>
      </c>
      <c r="J116" t="s">
        <v>86</v>
      </c>
      <c r="K116">
        <v>329</v>
      </c>
      <c r="L116" t="s">
        <v>70</v>
      </c>
      <c r="M116" t="s">
        <v>184</v>
      </c>
      <c r="N116" t="s">
        <v>610</v>
      </c>
      <c r="O116" t="s">
        <v>611</v>
      </c>
      <c r="P116" t="s">
        <v>612</v>
      </c>
      <c r="R116">
        <v>36.801541425818883</v>
      </c>
      <c r="S116">
        <v>0</v>
      </c>
      <c r="T116" s="6">
        <f t="shared" si="6"/>
        <v>36.801541425818883</v>
      </c>
      <c r="U116" s="6">
        <v>37.95406417983385</v>
      </c>
      <c r="V116" s="6">
        <v>0</v>
      </c>
      <c r="W116" s="6">
        <f t="shared" si="7"/>
        <v>37.95406417983385</v>
      </c>
      <c r="X116" s="6">
        <v>36.178173719376403</v>
      </c>
      <c r="Y116" s="6">
        <v>0</v>
      </c>
      <c r="Z116" s="6">
        <f t="shared" si="8"/>
        <v>36.178173719376403</v>
      </c>
      <c r="AA116" s="6">
        <v>33.948152730135533</v>
      </c>
      <c r="AB116" s="6">
        <v>0</v>
      </c>
      <c r="AC116" s="6">
        <f t="shared" si="9"/>
        <v>33.948152730135533</v>
      </c>
      <c r="AD116" s="6">
        <v>33.0256806333269</v>
      </c>
      <c r="AE116" s="6">
        <v>8.882023556671173E-2</v>
      </c>
      <c r="AF116" s="6">
        <f t="shared" si="10"/>
        <v>33.114500868893614</v>
      </c>
      <c r="AG116" s="6">
        <v>33.871786197564283</v>
      </c>
      <c r="AH116" s="6">
        <v>0.1973387460532251</v>
      </c>
      <c r="AI116" s="6">
        <f t="shared" si="11"/>
        <v>34.06912494361751</v>
      </c>
      <c r="AJ116">
        <v>7.6913230863415736</v>
      </c>
      <c r="AK116" s="3">
        <v>109.9087340877556</v>
      </c>
      <c r="AL116">
        <v>66.89588157597089</v>
      </c>
      <c r="AM116">
        <v>60.864936832552793</v>
      </c>
      <c r="AN116">
        <v>7.2173913778385241</v>
      </c>
      <c r="AO116">
        <v>92.869487831200743</v>
      </c>
      <c r="AP116">
        <v>49.664689878437343</v>
      </c>
      <c r="AQ116">
        <v>53.477940966690497</v>
      </c>
      <c r="AR116">
        <v>12.11044084954367</v>
      </c>
      <c r="AS116">
        <v>100.7415165518867</v>
      </c>
      <c r="AT116">
        <v>53.892108655195713</v>
      </c>
      <c r="AU116">
        <v>53.495431178503949</v>
      </c>
      <c r="AV116">
        <v>11.57054188556037</v>
      </c>
      <c r="AW116">
        <v>138.17794259715609</v>
      </c>
      <c r="AX116">
        <v>100.608913544228</v>
      </c>
      <c r="AY116">
        <v>72.81112430335078</v>
      </c>
      <c r="AZ116">
        <v>11.70522592339538</v>
      </c>
      <c r="BA116">
        <v>120.90512718608559</v>
      </c>
      <c r="BB116">
        <v>73.127170564344723</v>
      </c>
      <c r="BC116">
        <v>60.483101309503951</v>
      </c>
      <c r="BD116">
        <v>12.166183180421809</v>
      </c>
      <c r="BE116">
        <v>111.6404683258995</v>
      </c>
      <c r="BF116">
        <v>75.013263501978372</v>
      </c>
      <c r="BG116">
        <v>67.191820875384167</v>
      </c>
      <c r="BH116">
        <v>0.8395093109584727</v>
      </c>
      <c r="BI116">
        <v>5.7184313134972298E-2</v>
      </c>
      <c r="BJ116">
        <v>0.83614525731729317</v>
      </c>
      <c r="BK116">
        <v>6.7993886133253301E-2</v>
      </c>
      <c r="BL116">
        <v>0.83532030577431182</v>
      </c>
      <c r="BM116">
        <v>6.6681285374917201E-2</v>
      </c>
      <c r="BN116">
        <v>0.8351668120923279</v>
      </c>
      <c r="BO116">
        <v>6.8297038378062599E-2</v>
      </c>
      <c r="BP116">
        <v>0.82749885861368233</v>
      </c>
      <c r="BQ116">
        <v>8.0244025875060701E-2</v>
      </c>
      <c r="BR116">
        <v>0.81765830196391609</v>
      </c>
      <c r="BS116">
        <v>9.6060841609482098E-2</v>
      </c>
    </row>
    <row r="117" spans="1:71" x14ac:dyDescent="0.3">
      <c r="A117" t="s">
        <v>606</v>
      </c>
      <c r="B117" t="s">
        <v>83</v>
      </c>
      <c r="C117" t="s">
        <v>376</v>
      </c>
      <c r="D117" t="s">
        <v>256</v>
      </c>
      <c r="E117" s="2">
        <v>43228</v>
      </c>
      <c r="F117" s="2">
        <v>0.51666666666642413</v>
      </c>
      <c r="G117">
        <v>96</v>
      </c>
      <c r="H117" s="2">
        <v>43262</v>
      </c>
      <c r="I117" s="2">
        <v>0.32013888888832298</v>
      </c>
      <c r="J117" t="s">
        <v>137</v>
      </c>
      <c r="K117">
        <v>214</v>
      </c>
      <c r="L117" t="s">
        <v>157</v>
      </c>
      <c r="M117" t="s">
        <v>226</v>
      </c>
      <c r="N117" t="s">
        <v>613</v>
      </c>
      <c r="O117" t="s">
        <v>614</v>
      </c>
      <c r="P117" t="s">
        <v>615</v>
      </c>
      <c r="R117">
        <v>36.801541425818883</v>
      </c>
      <c r="S117">
        <v>0</v>
      </c>
      <c r="T117" s="6">
        <f t="shared" si="6"/>
        <v>36.801541425818883</v>
      </c>
      <c r="U117" s="6">
        <v>37.95406417983385</v>
      </c>
      <c r="V117" s="6">
        <v>0</v>
      </c>
      <c r="W117" s="6">
        <f t="shared" si="7"/>
        <v>37.95406417983385</v>
      </c>
      <c r="X117" s="6">
        <v>36.178173719376403</v>
      </c>
      <c r="Y117" s="6">
        <v>0</v>
      </c>
      <c r="Z117" s="6">
        <f t="shared" si="8"/>
        <v>36.178173719376403</v>
      </c>
      <c r="AA117" s="6">
        <v>33.948152730135533</v>
      </c>
      <c r="AB117" s="6">
        <v>0</v>
      </c>
      <c r="AC117" s="6">
        <f t="shared" si="9"/>
        <v>33.948152730135533</v>
      </c>
      <c r="AD117" s="6">
        <v>33.0256806333269</v>
      </c>
      <c r="AE117" s="6">
        <v>8.882023556671173E-2</v>
      </c>
      <c r="AF117" s="6">
        <f t="shared" si="10"/>
        <v>33.114500868893614</v>
      </c>
      <c r="AG117" s="6">
        <v>33.871786197564283</v>
      </c>
      <c r="AH117" s="6">
        <v>0.1973387460532251</v>
      </c>
      <c r="AI117" s="6">
        <f t="shared" si="11"/>
        <v>34.06912494361751</v>
      </c>
      <c r="AJ117">
        <v>7.6913230863415736</v>
      </c>
      <c r="AK117" s="3">
        <v>109.9087340877556</v>
      </c>
      <c r="AL117">
        <v>66.89588157597089</v>
      </c>
      <c r="AM117">
        <v>60.864936832552793</v>
      </c>
      <c r="AN117">
        <v>7.2173913778385241</v>
      </c>
      <c r="AO117">
        <v>92.869487831200743</v>
      </c>
      <c r="AP117">
        <v>49.664689878437343</v>
      </c>
      <c r="AQ117">
        <v>53.477940966690497</v>
      </c>
      <c r="AR117">
        <v>12.11044084954367</v>
      </c>
      <c r="AS117">
        <v>100.7415165518867</v>
      </c>
      <c r="AT117">
        <v>53.892108655195713</v>
      </c>
      <c r="AU117">
        <v>53.495431178503949</v>
      </c>
      <c r="AV117">
        <v>11.57054188556037</v>
      </c>
      <c r="AW117">
        <v>138.17794259715609</v>
      </c>
      <c r="AX117">
        <v>100.608913544228</v>
      </c>
      <c r="AY117">
        <v>72.81112430335078</v>
      </c>
      <c r="AZ117">
        <v>11.70522592339538</v>
      </c>
      <c r="BA117">
        <v>120.90512718608559</v>
      </c>
      <c r="BB117">
        <v>73.127170564344723</v>
      </c>
      <c r="BC117">
        <v>60.483101309503951</v>
      </c>
      <c r="BD117">
        <v>12.166183180421809</v>
      </c>
      <c r="BE117">
        <v>111.6404683258995</v>
      </c>
      <c r="BF117">
        <v>75.013263501978372</v>
      </c>
      <c r="BG117">
        <v>67.191820875384167</v>
      </c>
      <c r="BH117">
        <v>0.8395093109584727</v>
      </c>
      <c r="BI117">
        <v>5.7184313134972298E-2</v>
      </c>
      <c r="BJ117">
        <v>0.83614525731729317</v>
      </c>
      <c r="BK117">
        <v>6.7993886133253301E-2</v>
      </c>
      <c r="BL117">
        <v>0.83532030577431182</v>
      </c>
      <c r="BM117">
        <v>6.6681285374917201E-2</v>
      </c>
      <c r="BN117">
        <v>0.8351668120923279</v>
      </c>
      <c r="BO117">
        <v>6.8297038378062599E-2</v>
      </c>
      <c r="BP117">
        <v>0.82749885861368233</v>
      </c>
      <c r="BQ117">
        <v>8.0244025875060701E-2</v>
      </c>
      <c r="BR117">
        <v>0.81765830196391609</v>
      </c>
      <c r="BS117">
        <v>9.6060841609482098E-2</v>
      </c>
    </row>
    <row r="118" spans="1:71" x14ac:dyDescent="0.3">
      <c r="A118" t="s">
        <v>616</v>
      </c>
      <c r="B118" t="s">
        <v>66</v>
      </c>
      <c r="C118" t="s">
        <v>163</v>
      </c>
      <c r="D118" t="s">
        <v>129</v>
      </c>
      <c r="E118" s="2">
        <v>43193</v>
      </c>
      <c r="F118" s="2">
        <v>0.40208333333430352</v>
      </c>
      <c r="G118">
        <v>99</v>
      </c>
      <c r="H118" s="2">
        <v>43222</v>
      </c>
      <c r="I118" s="2">
        <v>0.61527777777882875</v>
      </c>
      <c r="J118" t="s">
        <v>150</v>
      </c>
      <c r="K118">
        <v>109</v>
      </c>
      <c r="L118" t="s">
        <v>220</v>
      </c>
      <c r="M118" t="s">
        <v>617</v>
      </c>
      <c r="N118" t="s">
        <v>618</v>
      </c>
      <c r="O118" t="s">
        <v>619</v>
      </c>
      <c r="P118" t="s">
        <v>620</v>
      </c>
      <c r="Q118" t="s">
        <v>621</v>
      </c>
      <c r="R118">
        <v>49.207576343254743</v>
      </c>
      <c r="S118">
        <v>1.0050251256281411</v>
      </c>
      <c r="T118" s="6">
        <f t="shared" si="6"/>
        <v>50.212601468882887</v>
      </c>
      <c r="U118" s="6">
        <v>29.339178438058131</v>
      </c>
      <c r="V118" s="6">
        <v>0.56827407046598477</v>
      </c>
      <c r="W118" s="6">
        <f t="shared" si="7"/>
        <v>29.907452508524116</v>
      </c>
      <c r="X118" s="6">
        <v>27.665268980283699</v>
      </c>
      <c r="Y118" s="6">
        <v>0.31224908555624942</v>
      </c>
      <c r="Z118" s="6">
        <f t="shared" si="8"/>
        <v>27.977518065839948</v>
      </c>
      <c r="AA118" s="6">
        <v>36.250280835767242</v>
      </c>
      <c r="AB118" s="6">
        <v>0.25836890586385081</v>
      </c>
      <c r="AC118" s="6">
        <f t="shared" si="9"/>
        <v>36.508649741631096</v>
      </c>
      <c r="AD118" s="6">
        <v>39.8639771234253</v>
      </c>
      <c r="AE118" s="6">
        <v>0.22799288971326989</v>
      </c>
      <c r="AF118" s="6">
        <f t="shared" si="10"/>
        <v>40.091970013138571</v>
      </c>
      <c r="AG118" s="6">
        <v>40.710682785245297</v>
      </c>
      <c r="AH118" s="6">
        <v>0.21134499957731001</v>
      </c>
      <c r="AI118" s="6">
        <f t="shared" si="11"/>
        <v>40.922027784822603</v>
      </c>
      <c r="AJ118">
        <v>20.923620291429678</v>
      </c>
      <c r="AK118" s="3">
        <v>109.5838838126766</v>
      </c>
      <c r="AL118">
        <v>70.158574699932814</v>
      </c>
      <c r="AM118">
        <v>64.022712335932837</v>
      </c>
      <c r="AN118">
        <v>13.48635613996829</v>
      </c>
      <c r="AO118">
        <v>129.69254822002151</v>
      </c>
      <c r="AP118">
        <v>107.41639933033269</v>
      </c>
      <c r="AQ118">
        <v>82.823879092962528</v>
      </c>
      <c r="AR118">
        <v>10.096170283809609</v>
      </c>
      <c r="AS118">
        <v>107.9339984174629</v>
      </c>
      <c r="AT118">
        <v>89.625647574159274</v>
      </c>
      <c r="AU118">
        <v>83.037457046211443</v>
      </c>
      <c r="AV118">
        <v>21.80550498038404</v>
      </c>
      <c r="AW118">
        <v>93.85947138918236</v>
      </c>
      <c r="AX118">
        <v>38.565982649575048</v>
      </c>
      <c r="AY118">
        <v>41.08906866699008</v>
      </c>
      <c r="AZ118">
        <v>28.796291418041491</v>
      </c>
      <c r="BA118">
        <v>98.751343720740834</v>
      </c>
      <c r="BB118">
        <v>47.322034870743039</v>
      </c>
      <c r="BC118">
        <v>47.920395903234628</v>
      </c>
      <c r="BD118">
        <v>30.77165056229472</v>
      </c>
      <c r="BE118">
        <v>110.60093924281951</v>
      </c>
      <c r="BF118">
        <v>57.108107201898733</v>
      </c>
      <c r="BG118">
        <v>51.634378146211233</v>
      </c>
      <c r="BH118">
        <v>0.77938298624405722</v>
      </c>
      <c r="BI118">
        <v>8.8160916933651898E-2</v>
      </c>
      <c r="BJ118">
        <v>0.78106456730719331</v>
      </c>
      <c r="BK118">
        <v>9.5336310051827397E-2</v>
      </c>
      <c r="BL118">
        <v>0.78017154692166812</v>
      </c>
      <c r="BM118">
        <v>9.3478614645358199E-2</v>
      </c>
      <c r="BN118">
        <v>0.78130970168977221</v>
      </c>
      <c r="BO118">
        <v>9.3453890408387003E-2</v>
      </c>
      <c r="BP118">
        <v>0.78333729691484022</v>
      </c>
      <c r="BQ118">
        <v>9.1321856461114695E-2</v>
      </c>
      <c r="BR118">
        <v>0.78038628294786194</v>
      </c>
      <c r="BS118">
        <v>9.2232777374003302E-2</v>
      </c>
    </row>
    <row r="119" spans="1:71" x14ac:dyDescent="0.3">
      <c r="A119" t="s">
        <v>616</v>
      </c>
      <c r="B119" t="s">
        <v>76</v>
      </c>
      <c r="C119" t="s">
        <v>149</v>
      </c>
      <c r="D119" t="s">
        <v>377</v>
      </c>
      <c r="E119" s="2">
        <v>43193</v>
      </c>
      <c r="F119" s="2">
        <v>0.49097222222189879</v>
      </c>
      <c r="G119">
        <v>99</v>
      </c>
      <c r="H119" s="2">
        <v>43222</v>
      </c>
      <c r="I119" s="2">
        <v>0.62986111111240461</v>
      </c>
      <c r="J119" t="s">
        <v>506</v>
      </c>
      <c r="K119">
        <v>141</v>
      </c>
      <c r="L119" t="s">
        <v>177</v>
      </c>
      <c r="M119" t="s">
        <v>184</v>
      </c>
      <c r="N119" t="s">
        <v>622</v>
      </c>
      <c r="O119" t="s">
        <v>623</v>
      </c>
      <c r="P119" t="s">
        <v>624</v>
      </c>
      <c r="R119">
        <v>49.207576343254743</v>
      </c>
      <c r="S119">
        <v>1.0050251256281411</v>
      </c>
      <c r="T119" s="6">
        <f t="shared" si="6"/>
        <v>50.212601468882887</v>
      </c>
      <c r="U119" s="6">
        <v>29.339178438058131</v>
      </c>
      <c r="V119" s="6">
        <v>0.56827407046598477</v>
      </c>
      <c r="W119" s="6">
        <f t="shared" si="7"/>
        <v>29.907452508524116</v>
      </c>
      <c r="X119" s="6">
        <v>27.665268980283699</v>
      </c>
      <c r="Y119" s="6">
        <v>0.31224908555624942</v>
      </c>
      <c r="Z119" s="6">
        <f t="shared" si="8"/>
        <v>27.977518065839948</v>
      </c>
      <c r="AA119" s="6">
        <v>36.250280835767242</v>
      </c>
      <c r="AB119" s="6">
        <v>0.25836890586385081</v>
      </c>
      <c r="AC119" s="6">
        <f t="shared" si="9"/>
        <v>36.508649741631096</v>
      </c>
      <c r="AD119" s="6">
        <v>39.8639771234253</v>
      </c>
      <c r="AE119" s="6">
        <v>0.22799288971326989</v>
      </c>
      <c r="AF119" s="6">
        <f t="shared" si="10"/>
        <v>40.091970013138571</v>
      </c>
      <c r="AG119" s="6">
        <v>40.710682785245297</v>
      </c>
      <c r="AH119" s="6">
        <v>0.21134499957731001</v>
      </c>
      <c r="AI119" s="6">
        <f t="shared" si="11"/>
        <v>40.922027784822603</v>
      </c>
      <c r="AJ119">
        <v>20.923620291429678</v>
      </c>
      <c r="AK119" s="3">
        <v>109.5838838126766</v>
      </c>
      <c r="AL119">
        <v>70.158574699932814</v>
      </c>
      <c r="AM119">
        <v>64.022712335932837</v>
      </c>
      <c r="AN119">
        <v>13.48635613996829</v>
      </c>
      <c r="AO119">
        <v>129.69254822002151</v>
      </c>
      <c r="AP119">
        <v>107.41639933033269</v>
      </c>
      <c r="AQ119">
        <v>82.823879092962528</v>
      </c>
      <c r="AR119">
        <v>10.096170283809609</v>
      </c>
      <c r="AS119">
        <v>107.9339984174629</v>
      </c>
      <c r="AT119">
        <v>89.625647574159274</v>
      </c>
      <c r="AU119">
        <v>83.037457046211443</v>
      </c>
      <c r="AV119">
        <v>21.80550498038404</v>
      </c>
      <c r="AW119">
        <v>93.85947138918236</v>
      </c>
      <c r="AX119">
        <v>38.565982649575048</v>
      </c>
      <c r="AY119">
        <v>41.08906866699008</v>
      </c>
      <c r="AZ119">
        <v>28.796291418041491</v>
      </c>
      <c r="BA119">
        <v>98.751343720740834</v>
      </c>
      <c r="BB119">
        <v>47.322034870743039</v>
      </c>
      <c r="BC119">
        <v>47.920395903234628</v>
      </c>
      <c r="BD119">
        <v>30.77165056229472</v>
      </c>
      <c r="BE119">
        <v>110.60093924281951</v>
      </c>
      <c r="BF119">
        <v>57.108107201898733</v>
      </c>
      <c r="BG119">
        <v>51.634378146211233</v>
      </c>
      <c r="BH119">
        <v>0.77938298624405722</v>
      </c>
      <c r="BI119">
        <v>8.8160916933651898E-2</v>
      </c>
      <c r="BJ119">
        <v>0.78106456730719331</v>
      </c>
      <c r="BK119">
        <v>9.5336310051827397E-2</v>
      </c>
      <c r="BL119">
        <v>0.78017154692166812</v>
      </c>
      <c r="BM119">
        <v>9.3478614645358199E-2</v>
      </c>
      <c r="BN119">
        <v>0.78130970168977221</v>
      </c>
      <c r="BO119">
        <v>9.3453890408387003E-2</v>
      </c>
      <c r="BP119">
        <v>0.78333729691484022</v>
      </c>
      <c r="BQ119">
        <v>9.1321856461114695E-2</v>
      </c>
      <c r="BR119">
        <v>0.78038628294786194</v>
      </c>
      <c r="BS119">
        <v>9.2232777374003302E-2</v>
      </c>
    </row>
    <row r="120" spans="1:71" x14ac:dyDescent="0.3">
      <c r="A120" t="s">
        <v>616</v>
      </c>
      <c r="B120" t="s">
        <v>83</v>
      </c>
      <c r="C120" t="s">
        <v>155</v>
      </c>
      <c r="D120" t="s">
        <v>315</v>
      </c>
      <c r="E120" s="2">
        <v>43193</v>
      </c>
      <c r="F120" s="2">
        <v>0.45555555555620231</v>
      </c>
      <c r="G120">
        <v>99</v>
      </c>
      <c r="H120" s="2">
        <v>43222</v>
      </c>
      <c r="I120" s="2">
        <v>0.60694444444379769</v>
      </c>
      <c r="J120" t="s">
        <v>130</v>
      </c>
      <c r="K120">
        <v>102</v>
      </c>
      <c r="L120" t="s">
        <v>177</v>
      </c>
      <c r="M120" t="s">
        <v>71</v>
      </c>
      <c r="N120" t="s">
        <v>625</v>
      </c>
      <c r="O120" t="s">
        <v>626</v>
      </c>
      <c r="P120" t="s">
        <v>627</v>
      </c>
      <c r="R120">
        <v>49.207576343254743</v>
      </c>
      <c r="S120">
        <v>1.0050251256281411</v>
      </c>
      <c r="T120" s="6">
        <f t="shared" si="6"/>
        <v>50.212601468882887</v>
      </c>
      <c r="U120" s="6">
        <v>29.339178438058131</v>
      </c>
      <c r="V120" s="6">
        <v>0.56827407046598477</v>
      </c>
      <c r="W120" s="6">
        <f t="shared" si="7"/>
        <v>29.907452508524116</v>
      </c>
      <c r="X120" s="6">
        <v>27.665268980283699</v>
      </c>
      <c r="Y120" s="6">
        <v>0.31224908555624942</v>
      </c>
      <c r="Z120" s="6">
        <f t="shared" si="8"/>
        <v>27.977518065839948</v>
      </c>
      <c r="AA120" s="6">
        <v>36.250280835767242</v>
      </c>
      <c r="AB120" s="6">
        <v>0.25836890586385081</v>
      </c>
      <c r="AC120" s="6">
        <f t="shared" si="9"/>
        <v>36.508649741631096</v>
      </c>
      <c r="AD120" s="6">
        <v>39.8639771234253</v>
      </c>
      <c r="AE120" s="6">
        <v>0.22799288971326989</v>
      </c>
      <c r="AF120" s="6">
        <f t="shared" si="10"/>
        <v>40.091970013138571</v>
      </c>
      <c r="AG120" s="6">
        <v>40.710682785245297</v>
      </c>
      <c r="AH120" s="6">
        <v>0.21134499957731001</v>
      </c>
      <c r="AI120" s="6">
        <f t="shared" si="11"/>
        <v>40.922027784822603</v>
      </c>
      <c r="AJ120">
        <v>20.923620291429678</v>
      </c>
      <c r="AK120" s="3">
        <v>109.5838838126766</v>
      </c>
      <c r="AL120">
        <v>70.158574699932814</v>
      </c>
      <c r="AM120">
        <v>64.022712335932837</v>
      </c>
      <c r="AN120">
        <v>13.48635613996829</v>
      </c>
      <c r="AO120">
        <v>129.69254822002151</v>
      </c>
      <c r="AP120">
        <v>107.41639933033269</v>
      </c>
      <c r="AQ120">
        <v>82.823879092962528</v>
      </c>
      <c r="AR120">
        <v>10.096170283809609</v>
      </c>
      <c r="AS120">
        <v>107.9339984174629</v>
      </c>
      <c r="AT120">
        <v>89.625647574159274</v>
      </c>
      <c r="AU120">
        <v>83.037457046211443</v>
      </c>
      <c r="AV120">
        <v>21.80550498038404</v>
      </c>
      <c r="AW120">
        <v>93.85947138918236</v>
      </c>
      <c r="AX120">
        <v>38.565982649575048</v>
      </c>
      <c r="AY120">
        <v>41.08906866699008</v>
      </c>
      <c r="AZ120">
        <v>28.796291418041491</v>
      </c>
      <c r="BA120">
        <v>98.751343720740834</v>
      </c>
      <c r="BB120">
        <v>47.322034870743039</v>
      </c>
      <c r="BC120">
        <v>47.920395903234628</v>
      </c>
      <c r="BD120">
        <v>30.77165056229472</v>
      </c>
      <c r="BE120">
        <v>110.60093924281951</v>
      </c>
      <c r="BF120">
        <v>57.108107201898733</v>
      </c>
      <c r="BG120">
        <v>51.634378146211233</v>
      </c>
      <c r="BH120">
        <v>0.77938298624405722</v>
      </c>
      <c r="BI120">
        <v>8.8160916933651898E-2</v>
      </c>
      <c r="BJ120">
        <v>0.78106456730719331</v>
      </c>
      <c r="BK120">
        <v>9.5336310051827397E-2</v>
      </c>
      <c r="BL120">
        <v>0.78017154692166812</v>
      </c>
      <c r="BM120">
        <v>9.3478614645358199E-2</v>
      </c>
      <c r="BN120">
        <v>0.78130970168977221</v>
      </c>
      <c r="BO120">
        <v>9.3453890408387003E-2</v>
      </c>
      <c r="BP120">
        <v>0.78333729691484022</v>
      </c>
      <c r="BQ120">
        <v>9.1321856461114695E-2</v>
      </c>
      <c r="BR120">
        <v>0.78038628294786194</v>
      </c>
      <c r="BS120">
        <v>9.2232777374003302E-2</v>
      </c>
    </row>
    <row r="121" spans="1:71" x14ac:dyDescent="0.3">
      <c r="A121" t="s">
        <v>628</v>
      </c>
      <c r="B121" t="s">
        <v>66</v>
      </c>
      <c r="C121" t="s">
        <v>200</v>
      </c>
      <c r="D121" t="s">
        <v>377</v>
      </c>
      <c r="E121" s="2">
        <v>43263</v>
      </c>
      <c r="F121" s="2">
        <v>0.42916666666496889</v>
      </c>
      <c r="G121">
        <v>95</v>
      </c>
      <c r="H121" s="2">
        <v>43291</v>
      </c>
      <c r="I121" s="2">
        <v>0.32708333333357592</v>
      </c>
      <c r="J121" t="s">
        <v>115</v>
      </c>
      <c r="K121">
        <v>196</v>
      </c>
      <c r="L121" t="s">
        <v>70</v>
      </c>
      <c r="M121" t="s">
        <v>158</v>
      </c>
      <c r="N121" t="s">
        <v>629</v>
      </c>
      <c r="O121" t="s">
        <v>630</v>
      </c>
      <c r="P121" t="s">
        <v>631</v>
      </c>
      <c r="Q121" t="s">
        <v>632</v>
      </c>
      <c r="R121">
        <v>40.207772220084657</v>
      </c>
      <c r="S121">
        <v>0</v>
      </c>
      <c r="T121" s="6">
        <f t="shared" si="6"/>
        <v>40.207772220084657</v>
      </c>
      <c r="U121" s="6">
        <v>35.244437225921708</v>
      </c>
      <c r="V121" s="6">
        <v>0</v>
      </c>
      <c r="W121" s="6">
        <f t="shared" si="7"/>
        <v>35.244437225921708</v>
      </c>
      <c r="X121" s="6">
        <v>42.850779510022271</v>
      </c>
      <c r="Y121" s="6">
        <v>0</v>
      </c>
      <c r="Z121" s="6">
        <f t="shared" si="8"/>
        <v>42.850779510022271</v>
      </c>
      <c r="AA121" s="6">
        <v>43.382022471910112</v>
      </c>
      <c r="AB121" s="6">
        <v>3.9325842696629212E-2</v>
      </c>
      <c r="AC121" s="6">
        <f t="shared" si="9"/>
        <v>43.421348314606739</v>
      </c>
      <c r="AD121" s="6">
        <v>44.303650762990152</v>
      </c>
      <c r="AE121" s="6">
        <v>0.56403322387483101</v>
      </c>
      <c r="AF121" s="6">
        <f t="shared" si="10"/>
        <v>44.867683986864982</v>
      </c>
      <c r="AG121" s="6">
        <v>43.133331454499327</v>
      </c>
      <c r="AH121" s="6">
        <v>0.83138404306287528</v>
      </c>
      <c r="AI121" s="6">
        <f t="shared" si="11"/>
        <v>43.964715497562203</v>
      </c>
      <c r="AJ121">
        <v>9.3423400839332214</v>
      </c>
      <c r="AK121" s="3">
        <v>116.6595143342502</v>
      </c>
      <c r="AL121">
        <v>45.886744480188668</v>
      </c>
      <c r="AM121">
        <v>39.333906661667569</v>
      </c>
      <c r="AN121">
        <v>8.7383094750554609</v>
      </c>
      <c r="AO121">
        <v>109.05547565322659</v>
      </c>
      <c r="AP121">
        <v>80.966669528999688</v>
      </c>
      <c r="AQ121">
        <v>74.243561860622762</v>
      </c>
      <c r="AR121">
        <v>15.498620049587791</v>
      </c>
      <c r="AS121">
        <v>91.282613482827941</v>
      </c>
      <c r="AT121">
        <v>46.105669678331651</v>
      </c>
      <c r="AU121">
        <v>50.508709073064651</v>
      </c>
      <c r="AV121">
        <v>20.077198044667782</v>
      </c>
      <c r="AW121">
        <v>94.754996177394219</v>
      </c>
      <c r="AX121">
        <v>40.601103745552408</v>
      </c>
      <c r="AY121">
        <v>42.848509718201697</v>
      </c>
      <c r="AZ121">
        <v>24.610538351773879</v>
      </c>
      <c r="BA121">
        <v>107.21410497918041</v>
      </c>
      <c r="BB121">
        <v>49.073709905935146</v>
      </c>
      <c r="BC121">
        <v>45.771691994691047</v>
      </c>
      <c r="BD121">
        <v>22.037579898528861</v>
      </c>
      <c r="BE121">
        <v>98.020595078359847</v>
      </c>
      <c r="BF121">
        <v>64.913531888424473</v>
      </c>
      <c r="BG121">
        <v>66.22438053608137</v>
      </c>
      <c r="BH121">
        <v>0.71252908942242987</v>
      </c>
      <c r="BI121">
        <v>0.1100449906046021</v>
      </c>
      <c r="BJ121">
        <v>0.71505772527497813</v>
      </c>
      <c r="BK121">
        <v>0.1178265621596094</v>
      </c>
      <c r="BL121">
        <v>0.72944675262847436</v>
      </c>
      <c r="BM121">
        <v>0.1139305892421543</v>
      </c>
      <c r="BN121">
        <v>0.72126227122042075</v>
      </c>
      <c r="BO121">
        <v>0.1232738019978028</v>
      </c>
      <c r="BP121">
        <v>0.72204630387868973</v>
      </c>
      <c r="BQ121">
        <v>0.12409630598894671</v>
      </c>
      <c r="BR121">
        <v>0.72286592250445592</v>
      </c>
      <c r="BS121">
        <v>0.12014369201274</v>
      </c>
    </row>
    <row r="122" spans="1:71" x14ac:dyDescent="0.3">
      <c r="A122" t="s">
        <v>628</v>
      </c>
      <c r="B122" t="s">
        <v>76</v>
      </c>
      <c r="C122" t="s">
        <v>204</v>
      </c>
      <c r="D122" t="s">
        <v>271</v>
      </c>
      <c r="E122" s="2">
        <v>43263</v>
      </c>
      <c r="F122" s="2">
        <v>0.46319444444452529</v>
      </c>
      <c r="G122">
        <v>97</v>
      </c>
      <c r="H122" s="2">
        <v>43291</v>
      </c>
      <c r="I122" s="2">
        <v>0.29791666666642408</v>
      </c>
      <c r="J122" t="s">
        <v>206</v>
      </c>
      <c r="K122">
        <v>225</v>
      </c>
      <c r="L122" t="s">
        <v>633</v>
      </c>
      <c r="M122" t="s">
        <v>634</v>
      </c>
      <c r="N122" t="s">
        <v>635</v>
      </c>
      <c r="O122" t="s">
        <v>636</v>
      </c>
      <c r="P122" t="s">
        <v>637</v>
      </c>
      <c r="R122">
        <v>40.207772220084657</v>
      </c>
      <c r="S122">
        <v>0</v>
      </c>
      <c r="T122" s="6">
        <f t="shared" si="6"/>
        <v>40.207772220084657</v>
      </c>
      <c r="U122" s="6">
        <v>35.244437225921708</v>
      </c>
      <c r="V122" s="6">
        <v>0</v>
      </c>
      <c r="W122" s="6">
        <f t="shared" si="7"/>
        <v>35.244437225921708</v>
      </c>
      <c r="X122" s="6">
        <v>42.850779510022271</v>
      </c>
      <c r="Y122" s="6">
        <v>0</v>
      </c>
      <c r="Z122" s="6">
        <f t="shared" si="8"/>
        <v>42.850779510022271</v>
      </c>
      <c r="AA122" s="6">
        <v>43.382022471910112</v>
      </c>
      <c r="AB122" s="6">
        <v>3.9325842696629212E-2</v>
      </c>
      <c r="AC122" s="6">
        <f t="shared" si="9"/>
        <v>43.421348314606739</v>
      </c>
      <c r="AD122" s="6">
        <v>44.303650762990152</v>
      </c>
      <c r="AE122" s="6">
        <v>0.56403322387483101</v>
      </c>
      <c r="AF122" s="6">
        <f t="shared" si="10"/>
        <v>44.867683986864982</v>
      </c>
      <c r="AG122" s="6">
        <v>43.133331454499327</v>
      </c>
      <c r="AH122" s="6">
        <v>0.83138404306287528</v>
      </c>
      <c r="AI122" s="6">
        <f t="shared" si="11"/>
        <v>43.964715497562203</v>
      </c>
      <c r="AJ122">
        <v>9.3423400839332214</v>
      </c>
      <c r="AK122" s="3">
        <v>116.6595143342502</v>
      </c>
      <c r="AL122">
        <v>45.886744480188668</v>
      </c>
      <c r="AM122">
        <v>39.333906661667569</v>
      </c>
      <c r="AN122">
        <v>8.7383094750554609</v>
      </c>
      <c r="AO122">
        <v>109.05547565322659</v>
      </c>
      <c r="AP122">
        <v>80.966669528999688</v>
      </c>
      <c r="AQ122">
        <v>74.243561860622762</v>
      </c>
      <c r="AR122">
        <v>15.498620049587791</v>
      </c>
      <c r="AS122">
        <v>91.282613482827941</v>
      </c>
      <c r="AT122">
        <v>46.105669678331651</v>
      </c>
      <c r="AU122">
        <v>50.508709073064651</v>
      </c>
      <c r="AV122">
        <v>20.077198044667782</v>
      </c>
      <c r="AW122">
        <v>94.754996177394219</v>
      </c>
      <c r="AX122">
        <v>40.601103745552408</v>
      </c>
      <c r="AY122">
        <v>42.848509718201697</v>
      </c>
      <c r="AZ122">
        <v>24.610538351773879</v>
      </c>
      <c r="BA122">
        <v>107.21410497918041</v>
      </c>
      <c r="BB122">
        <v>49.073709905935146</v>
      </c>
      <c r="BC122">
        <v>45.771691994691047</v>
      </c>
      <c r="BD122">
        <v>22.037579898528861</v>
      </c>
      <c r="BE122">
        <v>98.020595078359847</v>
      </c>
      <c r="BF122">
        <v>64.913531888424473</v>
      </c>
      <c r="BG122">
        <v>66.22438053608137</v>
      </c>
      <c r="BH122">
        <v>0.71252908942242987</v>
      </c>
      <c r="BI122">
        <v>0.1100449906046021</v>
      </c>
      <c r="BJ122">
        <v>0.71505772527497813</v>
      </c>
      <c r="BK122">
        <v>0.1178265621596094</v>
      </c>
      <c r="BL122">
        <v>0.72944675262847436</v>
      </c>
      <c r="BM122">
        <v>0.1139305892421543</v>
      </c>
      <c r="BN122">
        <v>0.72126227122042075</v>
      </c>
      <c r="BO122">
        <v>0.1232738019978028</v>
      </c>
      <c r="BP122">
        <v>0.72204630387868973</v>
      </c>
      <c r="BQ122">
        <v>0.12409630598894671</v>
      </c>
      <c r="BR122">
        <v>0.72286592250445592</v>
      </c>
      <c r="BS122">
        <v>0.12014369201274</v>
      </c>
    </row>
    <row r="123" spans="1:71" x14ac:dyDescent="0.3">
      <c r="A123" t="s">
        <v>628</v>
      </c>
      <c r="B123" t="s">
        <v>83</v>
      </c>
      <c r="C123" t="s">
        <v>194</v>
      </c>
      <c r="D123" t="s">
        <v>183</v>
      </c>
      <c r="E123" s="2">
        <v>43263</v>
      </c>
      <c r="F123" s="2">
        <v>0.52777777777737356</v>
      </c>
      <c r="G123">
        <v>95</v>
      </c>
      <c r="H123" s="2">
        <v>43291</v>
      </c>
      <c r="I123" s="2">
        <v>0.35069444444525288</v>
      </c>
      <c r="J123" t="s">
        <v>144</v>
      </c>
      <c r="K123">
        <v>308</v>
      </c>
      <c r="L123" t="s">
        <v>177</v>
      </c>
      <c r="M123" t="s">
        <v>166</v>
      </c>
      <c r="N123" t="s">
        <v>638</v>
      </c>
      <c r="O123" t="s">
        <v>639</v>
      </c>
      <c r="P123" t="s">
        <v>640</v>
      </c>
      <c r="Q123" t="s">
        <v>641</v>
      </c>
      <c r="R123">
        <v>40.207772220084657</v>
      </c>
      <c r="S123">
        <v>0</v>
      </c>
      <c r="T123" s="6">
        <f t="shared" si="6"/>
        <v>40.207772220084657</v>
      </c>
      <c r="U123" s="6">
        <v>35.244437225921708</v>
      </c>
      <c r="V123" s="6">
        <v>0</v>
      </c>
      <c r="W123" s="6">
        <f t="shared" si="7"/>
        <v>35.244437225921708</v>
      </c>
      <c r="X123" s="6">
        <v>42.850779510022271</v>
      </c>
      <c r="Y123" s="6">
        <v>0</v>
      </c>
      <c r="Z123" s="6">
        <f t="shared" si="8"/>
        <v>42.850779510022271</v>
      </c>
      <c r="AA123" s="6">
        <v>43.382022471910112</v>
      </c>
      <c r="AB123" s="6">
        <v>3.9325842696629212E-2</v>
      </c>
      <c r="AC123" s="6">
        <f t="shared" si="9"/>
        <v>43.421348314606739</v>
      </c>
      <c r="AD123" s="6">
        <v>44.303650762990152</v>
      </c>
      <c r="AE123" s="6">
        <v>0.56403322387483101</v>
      </c>
      <c r="AF123" s="6">
        <f t="shared" si="10"/>
        <v>44.867683986864982</v>
      </c>
      <c r="AG123" s="6">
        <v>43.133331454499327</v>
      </c>
      <c r="AH123" s="6">
        <v>0.83138404306287528</v>
      </c>
      <c r="AI123" s="6">
        <f t="shared" si="11"/>
        <v>43.964715497562203</v>
      </c>
      <c r="AJ123">
        <v>9.3423400839332214</v>
      </c>
      <c r="AK123" s="3">
        <v>116.6595143342502</v>
      </c>
      <c r="AL123">
        <v>45.886744480188668</v>
      </c>
      <c r="AM123">
        <v>39.333906661667569</v>
      </c>
      <c r="AN123">
        <v>8.7383094750554609</v>
      </c>
      <c r="AO123">
        <v>109.05547565322659</v>
      </c>
      <c r="AP123">
        <v>80.966669528999688</v>
      </c>
      <c r="AQ123">
        <v>74.243561860622762</v>
      </c>
      <c r="AR123">
        <v>15.498620049587791</v>
      </c>
      <c r="AS123">
        <v>91.282613482827941</v>
      </c>
      <c r="AT123">
        <v>46.105669678331651</v>
      </c>
      <c r="AU123">
        <v>50.508709073064651</v>
      </c>
      <c r="AV123">
        <v>20.077198044667782</v>
      </c>
      <c r="AW123">
        <v>94.754996177394219</v>
      </c>
      <c r="AX123">
        <v>40.601103745552408</v>
      </c>
      <c r="AY123">
        <v>42.848509718201697</v>
      </c>
      <c r="AZ123">
        <v>24.610538351773879</v>
      </c>
      <c r="BA123">
        <v>107.21410497918041</v>
      </c>
      <c r="BB123">
        <v>49.073709905935146</v>
      </c>
      <c r="BC123">
        <v>45.771691994691047</v>
      </c>
      <c r="BD123">
        <v>22.037579898528861</v>
      </c>
      <c r="BE123">
        <v>98.020595078359847</v>
      </c>
      <c r="BF123">
        <v>64.913531888424473</v>
      </c>
      <c r="BG123">
        <v>66.22438053608137</v>
      </c>
      <c r="BH123">
        <v>0.71252908942242987</v>
      </c>
      <c r="BI123">
        <v>0.1100449906046021</v>
      </c>
      <c r="BJ123">
        <v>0.71505772527497813</v>
      </c>
      <c r="BK123">
        <v>0.1178265621596094</v>
      </c>
      <c r="BL123">
        <v>0.72944675262847436</v>
      </c>
      <c r="BM123">
        <v>0.1139305892421543</v>
      </c>
      <c r="BN123">
        <v>0.72126227122042075</v>
      </c>
      <c r="BO123">
        <v>0.1232738019978028</v>
      </c>
      <c r="BP123">
        <v>0.72204630387868973</v>
      </c>
      <c r="BQ123">
        <v>0.12409630598894671</v>
      </c>
      <c r="BR123">
        <v>0.72286592250445592</v>
      </c>
      <c r="BS123">
        <v>0.12014369201274</v>
      </c>
    </row>
    <row r="124" spans="1:71" x14ac:dyDescent="0.3">
      <c r="A124" t="s">
        <v>642</v>
      </c>
      <c r="B124" t="s">
        <v>66</v>
      </c>
      <c r="C124" t="s">
        <v>163</v>
      </c>
      <c r="D124" t="s">
        <v>78</v>
      </c>
      <c r="E124" s="2">
        <v>43325</v>
      </c>
      <c r="F124" s="2">
        <v>0.36111111110949418</v>
      </c>
      <c r="G124">
        <v>95</v>
      </c>
      <c r="H124" s="2">
        <v>43355</v>
      </c>
      <c r="I124" s="2">
        <v>0.3125</v>
      </c>
      <c r="J124" t="s">
        <v>86</v>
      </c>
      <c r="K124">
        <v>150</v>
      </c>
      <c r="L124" t="s">
        <v>157</v>
      </c>
      <c r="M124" t="s">
        <v>71</v>
      </c>
      <c r="N124" t="s">
        <v>643</v>
      </c>
      <c r="O124" t="s">
        <v>644</v>
      </c>
      <c r="P124" t="s">
        <v>645</v>
      </c>
      <c r="Q124" t="s">
        <v>646</v>
      </c>
      <c r="R124">
        <v>30.30185758513932</v>
      </c>
      <c r="S124">
        <v>0</v>
      </c>
      <c r="T124" s="6">
        <f t="shared" si="6"/>
        <v>30.30185758513932</v>
      </c>
      <c r="U124" s="6">
        <v>23.214285714285719</v>
      </c>
      <c r="V124" s="6">
        <v>0</v>
      </c>
      <c r="W124" s="6">
        <f t="shared" si="7"/>
        <v>23.214285714285719</v>
      </c>
      <c r="X124" s="6">
        <v>25.247657295850068</v>
      </c>
      <c r="Y124" s="6">
        <v>0</v>
      </c>
      <c r="Z124" s="6">
        <f t="shared" si="8"/>
        <v>25.247657295850068</v>
      </c>
      <c r="AA124" s="6">
        <v>26.017172680846279</v>
      </c>
      <c r="AB124" s="6">
        <v>8.9791795274706765E-2</v>
      </c>
      <c r="AC124" s="6">
        <f t="shared" si="9"/>
        <v>26.106964476120986</v>
      </c>
      <c r="AD124" s="6">
        <v>25.79510762453144</v>
      </c>
      <c r="AE124" s="6">
        <v>0.2898326699385555</v>
      </c>
      <c r="AF124" s="6">
        <f t="shared" si="10"/>
        <v>26.084940294469995</v>
      </c>
      <c r="AG124" s="6">
        <v>26.13617165061666</v>
      </c>
      <c r="AH124" s="6">
        <v>0.34071070563721351</v>
      </c>
      <c r="AI124" s="6">
        <f t="shared" si="11"/>
        <v>26.476882356253874</v>
      </c>
      <c r="AJ124">
        <v>10.51013259442484</v>
      </c>
      <c r="AK124" s="3">
        <v>109.9511488319294</v>
      </c>
      <c r="AL124">
        <v>45.646481085260007</v>
      </c>
      <c r="AM124">
        <v>41.515237967212997</v>
      </c>
      <c r="AN124">
        <v>7.1980314224246484</v>
      </c>
      <c r="AO124">
        <v>101.8428743295749</v>
      </c>
      <c r="AP124">
        <v>54.314586785106648</v>
      </c>
      <c r="AQ124">
        <v>53.33174966108929</v>
      </c>
      <c r="AR124">
        <v>6.1622005539646372</v>
      </c>
      <c r="AS124">
        <v>107.16531422275951</v>
      </c>
      <c r="AT124">
        <v>49.695108030715289</v>
      </c>
      <c r="AU124">
        <v>46.372381204814452</v>
      </c>
      <c r="AV124">
        <v>7.2019034135084317</v>
      </c>
      <c r="AW124">
        <v>123.3870513950591</v>
      </c>
      <c r="AX124">
        <v>76.234097489779259</v>
      </c>
      <c r="AY124">
        <v>61.7845200350026</v>
      </c>
      <c r="AZ124">
        <v>6.7923241967984911</v>
      </c>
      <c r="BA124">
        <v>111.01768194543629</v>
      </c>
      <c r="BB124">
        <v>57.802218096960942</v>
      </c>
      <c r="BC124">
        <v>52.065776445746678</v>
      </c>
      <c r="BD124">
        <v>7.8063172297475569</v>
      </c>
      <c r="BE124">
        <v>100.1861492711345</v>
      </c>
      <c r="BF124">
        <v>53.962517163287373</v>
      </c>
      <c r="BG124">
        <v>53.862252971963429</v>
      </c>
      <c r="BH124">
        <v>0.81900008884060571</v>
      </c>
      <c r="BI124">
        <v>6.4411089330269303E-2</v>
      </c>
      <c r="BJ124">
        <v>0.81862978347294391</v>
      </c>
      <c r="BK124">
        <v>6.84125120826342E-2</v>
      </c>
      <c r="BL124">
        <v>0.82383965445464502</v>
      </c>
      <c r="BM124">
        <v>7.0815676807593195E-2</v>
      </c>
      <c r="BN124">
        <v>0.80947192529998324</v>
      </c>
      <c r="BO124">
        <v>8.4853093052664599E-2</v>
      </c>
      <c r="BP124">
        <v>0.79352916926231976</v>
      </c>
      <c r="BQ124">
        <v>9.9502740531680997E-2</v>
      </c>
      <c r="BR124">
        <v>0.78930370361222102</v>
      </c>
      <c r="BS124">
        <v>0.10477677901991669</v>
      </c>
    </row>
    <row r="125" spans="1:71" x14ac:dyDescent="0.3">
      <c r="A125" t="s">
        <v>642</v>
      </c>
      <c r="B125" t="s">
        <v>76</v>
      </c>
      <c r="C125" t="s">
        <v>330</v>
      </c>
      <c r="D125" t="s">
        <v>453</v>
      </c>
      <c r="E125" s="2">
        <v>43325</v>
      </c>
      <c r="F125" s="2">
        <v>0.4055555555569299</v>
      </c>
      <c r="G125">
        <v>95</v>
      </c>
      <c r="H125" s="2">
        <v>43355</v>
      </c>
      <c r="I125" s="2">
        <v>0.34652777777955629</v>
      </c>
      <c r="J125" t="s">
        <v>86</v>
      </c>
      <c r="K125">
        <v>238</v>
      </c>
      <c r="L125" t="s">
        <v>70</v>
      </c>
      <c r="M125" t="s">
        <v>88</v>
      </c>
      <c r="N125" t="s">
        <v>647</v>
      </c>
      <c r="O125" t="s">
        <v>648</v>
      </c>
      <c r="P125" t="s">
        <v>649</v>
      </c>
      <c r="Q125" t="s">
        <v>650</v>
      </c>
      <c r="R125">
        <v>30.30185758513932</v>
      </c>
      <c r="S125">
        <v>0</v>
      </c>
      <c r="T125" s="6">
        <f t="shared" si="6"/>
        <v>30.30185758513932</v>
      </c>
      <c r="U125" s="6">
        <v>23.214285714285719</v>
      </c>
      <c r="V125" s="6">
        <v>0</v>
      </c>
      <c r="W125" s="6">
        <f t="shared" si="7"/>
        <v>23.214285714285719</v>
      </c>
      <c r="X125" s="6">
        <v>25.247657295850068</v>
      </c>
      <c r="Y125" s="6">
        <v>0</v>
      </c>
      <c r="Z125" s="6">
        <f t="shared" si="8"/>
        <v>25.247657295850068</v>
      </c>
      <c r="AA125" s="6">
        <v>26.017172680846279</v>
      </c>
      <c r="AB125" s="6">
        <v>8.9791795274706765E-2</v>
      </c>
      <c r="AC125" s="6">
        <f t="shared" si="9"/>
        <v>26.106964476120986</v>
      </c>
      <c r="AD125" s="6">
        <v>25.79510762453144</v>
      </c>
      <c r="AE125" s="6">
        <v>0.2898326699385555</v>
      </c>
      <c r="AF125" s="6">
        <f t="shared" si="10"/>
        <v>26.084940294469995</v>
      </c>
      <c r="AG125" s="6">
        <v>26.13617165061666</v>
      </c>
      <c r="AH125" s="6">
        <v>0.34071070563721351</v>
      </c>
      <c r="AI125" s="6">
        <f t="shared" si="11"/>
        <v>26.476882356253874</v>
      </c>
      <c r="AJ125">
        <v>10.51013259442484</v>
      </c>
      <c r="AK125" s="3">
        <v>109.9511488319294</v>
      </c>
      <c r="AL125">
        <v>45.646481085260007</v>
      </c>
      <c r="AM125">
        <v>41.515237967212997</v>
      </c>
      <c r="AN125">
        <v>7.1980314224246484</v>
      </c>
      <c r="AO125">
        <v>101.8428743295749</v>
      </c>
      <c r="AP125">
        <v>54.314586785106648</v>
      </c>
      <c r="AQ125">
        <v>53.33174966108929</v>
      </c>
      <c r="AR125">
        <v>6.1622005539646372</v>
      </c>
      <c r="AS125">
        <v>107.16531422275951</v>
      </c>
      <c r="AT125">
        <v>49.695108030715289</v>
      </c>
      <c r="AU125">
        <v>46.372381204814452</v>
      </c>
      <c r="AV125">
        <v>7.2019034135084317</v>
      </c>
      <c r="AW125">
        <v>123.3870513950591</v>
      </c>
      <c r="AX125">
        <v>76.234097489779259</v>
      </c>
      <c r="AY125">
        <v>61.7845200350026</v>
      </c>
      <c r="AZ125">
        <v>6.7923241967984911</v>
      </c>
      <c r="BA125">
        <v>111.01768194543629</v>
      </c>
      <c r="BB125">
        <v>57.802218096960942</v>
      </c>
      <c r="BC125">
        <v>52.065776445746678</v>
      </c>
      <c r="BD125">
        <v>7.8063172297475569</v>
      </c>
      <c r="BE125">
        <v>100.1861492711345</v>
      </c>
      <c r="BF125">
        <v>53.962517163287373</v>
      </c>
      <c r="BG125">
        <v>53.862252971963429</v>
      </c>
      <c r="BH125">
        <v>0.81900008884060571</v>
      </c>
      <c r="BI125">
        <v>6.4411089330269303E-2</v>
      </c>
      <c r="BJ125">
        <v>0.81862978347294391</v>
      </c>
      <c r="BK125">
        <v>6.84125120826342E-2</v>
      </c>
      <c r="BL125">
        <v>0.82383965445464502</v>
      </c>
      <c r="BM125">
        <v>7.0815676807593195E-2</v>
      </c>
      <c r="BN125">
        <v>0.80947192529998324</v>
      </c>
      <c r="BO125">
        <v>8.4853093052664599E-2</v>
      </c>
      <c r="BP125">
        <v>0.79352916926231976</v>
      </c>
      <c r="BQ125">
        <v>9.9502740531680997E-2</v>
      </c>
      <c r="BR125">
        <v>0.78930370361222102</v>
      </c>
      <c r="BS125">
        <v>0.10477677901991669</v>
      </c>
    </row>
    <row r="126" spans="1:71" x14ac:dyDescent="0.3">
      <c r="A126" t="s">
        <v>642</v>
      </c>
      <c r="B126" t="s">
        <v>83</v>
      </c>
      <c r="C126" t="s">
        <v>155</v>
      </c>
      <c r="D126" t="s">
        <v>377</v>
      </c>
      <c r="E126" s="2">
        <v>43325</v>
      </c>
      <c r="F126" s="2">
        <v>0.43333333333430352</v>
      </c>
      <c r="G126">
        <v>94</v>
      </c>
      <c r="H126" s="2">
        <v>43355</v>
      </c>
      <c r="I126" s="2">
        <v>0.33472222222189879</v>
      </c>
      <c r="J126" t="s">
        <v>206</v>
      </c>
      <c r="K126">
        <v>69</v>
      </c>
      <c r="L126" t="s">
        <v>70</v>
      </c>
      <c r="M126" t="s">
        <v>226</v>
      </c>
      <c r="N126" t="s">
        <v>651</v>
      </c>
      <c r="O126" t="s">
        <v>652</v>
      </c>
      <c r="P126" t="s">
        <v>653</v>
      </c>
      <c r="R126">
        <v>30.30185758513932</v>
      </c>
      <c r="S126">
        <v>0</v>
      </c>
      <c r="T126" s="6">
        <f t="shared" si="6"/>
        <v>30.30185758513932</v>
      </c>
      <c r="U126" s="6">
        <v>23.214285714285719</v>
      </c>
      <c r="V126" s="6">
        <v>0</v>
      </c>
      <c r="W126" s="6">
        <f t="shared" si="7"/>
        <v>23.214285714285719</v>
      </c>
      <c r="X126" s="6">
        <v>25.247657295850068</v>
      </c>
      <c r="Y126" s="6">
        <v>0</v>
      </c>
      <c r="Z126" s="6">
        <f t="shared" si="8"/>
        <v>25.247657295850068</v>
      </c>
      <c r="AA126" s="6">
        <v>26.017172680846279</v>
      </c>
      <c r="AB126" s="6">
        <v>8.9791795274706765E-2</v>
      </c>
      <c r="AC126" s="6">
        <f t="shared" si="9"/>
        <v>26.106964476120986</v>
      </c>
      <c r="AD126" s="6">
        <v>25.79510762453144</v>
      </c>
      <c r="AE126" s="6">
        <v>0.2898326699385555</v>
      </c>
      <c r="AF126" s="6">
        <f t="shared" si="10"/>
        <v>26.084940294469995</v>
      </c>
      <c r="AG126" s="6">
        <v>26.13617165061666</v>
      </c>
      <c r="AH126" s="6">
        <v>0.34071070563721351</v>
      </c>
      <c r="AI126" s="6">
        <f t="shared" si="11"/>
        <v>26.476882356253874</v>
      </c>
      <c r="AJ126">
        <v>10.51013259442484</v>
      </c>
      <c r="AK126" s="3">
        <v>109.9511488319294</v>
      </c>
      <c r="AL126">
        <v>45.646481085260007</v>
      </c>
      <c r="AM126">
        <v>41.515237967212997</v>
      </c>
      <c r="AN126">
        <v>7.1980314224246484</v>
      </c>
      <c r="AO126">
        <v>101.8428743295749</v>
      </c>
      <c r="AP126">
        <v>54.314586785106648</v>
      </c>
      <c r="AQ126">
        <v>53.33174966108929</v>
      </c>
      <c r="AR126">
        <v>6.1622005539646372</v>
      </c>
      <c r="AS126">
        <v>107.16531422275951</v>
      </c>
      <c r="AT126">
        <v>49.695108030715289</v>
      </c>
      <c r="AU126">
        <v>46.372381204814452</v>
      </c>
      <c r="AV126">
        <v>7.2019034135084317</v>
      </c>
      <c r="AW126">
        <v>123.3870513950591</v>
      </c>
      <c r="AX126">
        <v>76.234097489779259</v>
      </c>
      <c r="AY126">
        <v>61.7845200350026</v>
      </c>
      <c r="AZ126">
        <v>6.7923241967984911</v>
      </c>
      <c r="BA126">
        <v>111.01768194543629</v>
      </c>
      <c r="BB126">
        <v>57.802218096960942</v>
      </c>
      <c r="BC126">
        <v>52.065776445746678</v>
      </c>
      <c r="BD126">
        <v>7.8063172297475569</v>
      </c>
      <c r="BE126">
        <v>100.1861492711345</v>
      </c>
      <c r="BF126">
        <v>53.962517163287373</v>
      </c>
      <c r="BG126">
        <v>53.862252971963429</v>
      </c>
      <c r="BH126">
        <v>0.81900008884060571</v>
      </c>
      <c r="BI126">
        <v>6.4411089330269303E-2</v>
      </c>
      <c r="BJ126">
        <v>0.81862978347294391</v>
      </c>
      <c r="BK126">
        <v>6.84125120826342E-2</v>
      </c>
      <c r="BL126">
        <v>0.82383965445464502</v>
      </c>
      <c r="BM126">
        <v>7.0815676807593195E-2</v>
      </c>
      <c r="BN126">
        <v>0.80947192529998324</v>
      </c>
      <c r="BO126">
        <v>8.4853093052664599E-2</v>
      </c>
      <c r="BP126">
        <v>0.79352916926231976</v>
      </c>
      <c r="BQ126">
        <v>9.9502740531680997E-2</v>
      </c>
      <c r="BR126">
        <v>0.78930370361222102</v>
      </c>
      <c r="BS126">
        <v>0.10477677901991669</v>
      </c>
    </row>
    <row r="127" spans="1:71" x14ac:dyDescent="0.3">
      <c r="A127" t="s">
        <v>654</v>
      </c>
      <c r="B127" t="s">
        <v>66</v>
      </c>
      <c r="C127" t="s">
        <v>204</v>
      </c>
      <c r="D127" t="s">
        <v>176</v>
      </c>
      <c r="E127" s="2">
        <v>43327</v>
      </c>
      <c r="F127" s="2">
        <v>0.42361111110949418</v>
      </c>
      <c r="G127">
        <v>95</v>
      </c>
      <c r="H127" s="2">
        <v>43355</v>
      </c>
      <c r="I127" s="2">
        <v>0.53263888888977817</v>
      </c>
      <c r="J127" t="s">
        <v>130</v>
      </c>
      <c r="K127">
        <v>219</v>
      </c>
      <c r="L127" t="s">
        <v>70</v>
      </c>
      <c r="M127" t="s">
        <v>178</v>
      </c>
      <c r="N127" t="s">
        <v>655</v>
      </c>
      <c r="O127" t="s">
        <v>656</v>
      </c>
      <c r="P127" t="s">
        <v>657</v>
      </c>
      <c r="Q127" t="s">
        <v>658</v>
      </c>
      <c r="R127">
        <v>46.171693735498842</v>
      </c>
      <c r="S127">
        <v>0</v>
      </c>
      <c r="T127" s="6">
        <f t="shared" si="6"/>
        <v>46.171693735498842</v>
      </c>
      <c r="U127" s="6">
        <v>52.484117934517023</v>
      </c>
      <c r="V127" s="6">
        <v>0</v>
      </c>
      <c r="W127" s="6">
        <f t="shared" si="7"/>
        <v>52.484117934517023</v>
      </c>
      <c r="X127" s="6">
        <v>45.388869068854802</v>
      </c>
      <c r="Y127" s="6">
        <v>0</v>
      </c>
      <c r="Z127" s="6">
        <f t="shared" si="8"/>
        <v>45.388869068854802</v>
      </c>
      <c r="AA127" s="6">
        <v>38.877958288830179</v>
      </c>
      <c r="AB127" s="6">
        <v>0.1855078981392996</v>
      </c>
      <c r="AC127" s="6">
        <f t="shared" si="9"/>
        <v>39.063466186969478</v>
      </c>
      <c r="AD127" s="6">
        <v>37.631914646874641</v>
      </c>
      <c r="AE127" s="6">
        <v>0.29378793150102439</v>
      </c>
      <c r="AF127" s="6">
        <f t="shared" si="10"/>
        <v>37.925702578375663</v>
      </c>
      <c r="AG127" s="6">
        <v>37.183463989622688</v>
      </c>
      <c r="AH127" s="6">
        <v>0.2622525520275224</v>
      </c>
      <c r="AI127" s="6">
        <f t="shared" si="11"/>
        <v>37.445716541650206</v>
      </c>
      <c r="AJ127">
        <v>16.026945488816121</v>
      </c>
      <c r="AK127" s="3">
        <v>141.00744248103891</v>
      </c>
      <c r="AL127">
        <v>47.269479592729269</v>
      </c>
      <c r="AM127">
        <v>33.522684165472718</v>
      </c>
      <c r="AN127">
        <v>43.235168693023773</v>
      </c>
      <c r="AO127">
        <v>100.93548962758091</v>
      </c>
      <c r="AP127">
        <v>40.334447031157723</v>
      </c>
      <c r="AQ127">
        <v>39.960619579870958</v>
      </c>
      <c r="AR127">
        <v>51.221795632601413</v>
      </c>
      <c r="AS127">
        <v>137.48439654848889</v>
      </c>
      <c r="AT127">
        <v>66.331292392460483</v>
      </c>
      <c r="AU127">
        <v>48.246414907939268</v>
      </c>
      <c r="AV127">
        <v>31.087442003431558</v>
      </c>
      <c r="AW127">
        <v>117.55755302209801</v>
      </c>
      <c r="AX127">
        <v>86.826090896277492</v>
      </c>
      <c r="AY127">
        <v>73.858368657908585</v>
      </c>
      <c r="AZ127">
        <v>46.484300661025067</v>
      </c>
      <c r="BA127">
        <v>133.73649298367391</v>
      </c>
      <c r="BB127">
        <v>77.54769004168476</v>
      </c>
      <c r="BC127">
        <v>57.98543711711622</v>
      </c>
      <c r="BD127">
        <v>42.775031598084652</v>
      </c>
      <c r="BE127">
        <v>139.4155666898572</v>
      </c>
      <c r="BF127">
        <v>93.704128706177343</v>
      </c>
      <c r="BG127">
        <v>67.212099000846024</v>
      </c>
      <c r="BH127">
        <v>0.85384501289171733</v>
      </c>
      <c r="BI127">
        <v>4.5986346993594399E-2</v>
      </c>
      <c r="BJ127">
        <v>0.85559561933330375</v>
      </c>
      <c r="BK127">
        <v>4.2163378412406798E-2</v>
      </c>
      <c r="BL127">
        <v>0.85326117869096807</v>
      </c>
      <c r="BM127">
        <v>4.40619765514354E-2</v>
      </c>
      <c r="BN127">
        <v>0.85250123310580883</v>
      </c>
      <c r="BO127">
        <v>4.7026316513741999E-2</v>
      </c>
      <c r="BP127">
        <v>0.85020124115679285</v>
      </c>
      <c r="BQ127">
        <v>5.0309074301993398E-2</v>
      </c>
      <c r="BR127">
        <v>0.8515617995240562</v>
      </c>
      <c r="BS127">
        <v>5.0889834181662E-2</v>
      </c>
    </row>
    <row r="128" spans="1:71" x14ac:dyDescent="0.3">
      <c r="A128" t="s">
        <v>654</v>
      </c>
      <c r="B128" t="s">
        <v>76</v>
      </c>
      <c r="C128" t="s">
        <v>200</v>
      </c>
      <c r="D128" t="s">
        <v>143</v>
      </c>
      <c r="E128" s="2">
        <v>43327</v>
      </c>
      <c r="F128" s="2">
        <v>0.47777777777810121</v>
      </c>
      <c r="G128">
        <v>94</v>
      </c>
      <c r="H128" s="2">
        <v>43350</v>
      </c>
      <c r="I128" s="2">
        <v>0.4874999999992724</v>
      </c>
      <c r="J128" t="s">
        <v>144</v>
      </c>
      <c r="K128">
        <v>6045</v>
      </c>
      <c r="L128" t="s">
        <v>70</v>
      </c>
      <c r="M128" t="s">
        <v>88</v>
      </c>
      <c r="N128" t="s">
        <v>659</v>
      </c>
      <c r="O128" t="s">
        <v>660</v>
      </c>
      <c r="P128" t="s">
        <v>661</v>
      </c>
      <c r="Q128" t="s">
        <v>662</v>
      </c>
      <c r="R128">
        <v>46.171693735498842</v>
      </c>
      <c r="S128">
        <v>0</v>
      </c>
      <c r="T128" s="6">
        <f t="shared" si="6"/>
        <v>46.171693735498842</v>
      </c>
      <c r="U128" s="6">
        <v>52.484117934517023</v>
      </c>
      <c r="V128" s="6">
        <v>0</v>
      </c>
      <c r="W128" s="6">
        <f t="shared" si="7"/>
        <v>52.484117934517023</v>
      </c>
      <c r="X128" s="6">
        <v>45.388869068854802</v>
      </c>
      <c r="Y128" s="6">
        <v>0</v>
      </c>
      <c r="Z128" s="6">
        <f t="shared" si="8"/>
        <v>45.388869068854802</v>
      </c>
      <c r="AA128" s="6">
        <v>38.877958288830179</v>
      </c>
      <c r="AB128" s="6">
        <v>0.1855078981392996</v>
      </c>
      <c r="AC128" s="6">
        <f t="shared" si="9"/>
        <v>39.063466186969478</v>
      </c>
      <c r="AD128" s="6">
        <v>37.631914646874641</v>
      </c>
      <c r="AE128" s="6">
        <v>0.29378793150102439</v>
      </c>
      <c r="AF128" s="6">
        <f t="shared" si="10"/>
        <v>37.925702578375663</v>
      </c>
      <c r="AG128" s="6">
        <v>37.183463989622688</v>
      </c>
      <c r="AH128" s="6">
        <v>0.2622525520275224</v>
      </c>
      <c r="AI128" s="6">
        <f t="shared" si="11"/>
        <v>37.445716541650206</v>
      </c>
      <c r="AJ128">
        <v>16.026945488816121</v>
      </c>
      <c r="AK128" s="3">
        <v>141.00744248103891</v>
      </c>
      <c r="AL128">
        <v>47.269479592729269</v>
      </c>
      <c r="AM128">
        <v>33.522684165472718</v>
      </c>
      <c r="AN128">
        <v>43.235168693023773</v>
      </c>
      <c r="AO128">
        <v>100.93548962758091</v>
      </c>
      <c r="AP128">
        <v>40.334447031157723</v>
      </c>
      <c r="AQ128">
        <v>39.960619579870958</v>
      </c>
      <c r="AR128">
        <v>51.221795632601413</v>
      </c>
      <c r="AS128">
        <v>137.48439654848889</v>
      </c>
      <c r="AT128">
        <v>66.331292392460483</v>
      </c>
      <c r="AU128">
        <v>48.246414907939268</v>
      </c>
      <c r="AV128">
        <v>31.087442003431558</v>
      </c>
      <c r="AW128">
        <v>117.55755302209801</v>
      </c>
      <c r="AX128">
        <v>86.826090896277492</v>
      </c>
      <c r="AY128">
        <v>73.858368657908585</v>
      </c>
      <c r="AZ128">
        <v>46.484300661025067</v>
      </c>
      <c r="BA128">
        <v>133.73649298367391</v>
      </c>
      <c r="BB128">
        <v>77.54769004168476</v>
      </c>
      <c r="BC128">
        <v>57.98543711711622</v>
      </c>
      <c r="BD128">
        <v>42.775031598084652</v>
      </c>
      <c r="BE128">
        <v>139.4155666898572</v>
      </c>
      <c r="BF128">
        <v>93.704128706177343</v>
      </c>
      <c r="BG128">
        <v>67.212099000846024</v>
      </c>
      <c r="BH128">
        <v>0.85384501289171733</v>
      </c>
      <c r="BI128">
        <v>4.5986346993594399E-2</v>
      </c>
      <c r="BJ128">
        <v>0.85559561933330375</v>
      </c>
      <c r="BK128">
        <v>4.2163378412406798E-2</v>
      </c>
      <c r="BL128">
        <v>0.85326117869096807</v>
      </c>
      <c r="BM128">
        <v>4.40619765514354E-2</v>
      </c>
      <c r="BN128">
        <v>0.85250123310580883</v>
      </c>
      <c r="BO128">
        <v>4.7026316513741999E-2</v>
      </c>
      <c r="BP128">
        <v>0.85020124115679285</v>
      </c>
      <c r="BQ128">
        <v>5.0309074301993398E-2</v>
      </c>
      <c r="BR128">
        <v>0.8515617995240562</v>
      </c>
      <c r="BS128">
        <v>5.0889834181662E-2</v>
      </c>
    </row>
    <row r="129" spans="1:71" x14ac:dyDescent="0.3">
      <c r="A129" t="s">
        <v>654</v>
      </c>
      <c r="B129" t="s">
        <v>83</v>
      </c>
      <c r="C129" t="s">
        <v>182</v>
      </c>
      <c r="D129" t="s">
        <v>267</v>
      </c>
      <c r="E129" s="2">
        <v>43327</v>
      </c>
      <c r="F129" s="2">
        <v>0.52291666666496894</v>
      </c>
      <c r="G129">
        <v>97</v>
      </c>
      <c r="H129" s="2">
        <v>43355</v>
      </c>
      <c r="I129" s="2">
        <v>0.54861111110949423</v>
      </c>
      <c r="J129" t="s">
        <v>663</v>
      </c>
      <c r="K129">
        <v>109</v>
      </c>
      <c r="L129" t="s">
        <v>97</v>
      </c>
      <c r="M129" t="s">
        <v>123</v>
      </c>
      <c r="N129" t="s">
        <v>664</v>
      </c>
      <c r="O129" t="s">
        <v>665</v>
      </c>
      <c r="P129" t="s">
        <v>666</v>
      </c>
      <c r="Q129" t="s">
        <v>199</v>
      </c>
      <c r="R129">
        <v>46.171693735498842</v>
      </c>
      <c r="S129">
        <v>0</v>
      </c>
      <c r="T129" s="6">
        <f t="shared" si="6"/>
        <v>46.171693735498842</v>
      </c>
      <c r="U129" s="6">
        <v>52.484117934517023</v>
      </c>
      <c r="V129" s="6">
        <v>0</v>
      </c>
      <c r="W129" s="6">
        <f t="shared" si="7"/>
        <v>52.484117934517023</v>
      </c>
      <c r="X129" s="6">
        <v>45.388869068854802</v>
      </c>
      <c r="Y129" s="6">
        <v>0</v>
      </c>
      <c r="Z129" s="6">
        <f t="shared" si="8"/>
        <v>45.388869068854802</v>
      </c>
      <c r="AA129" s="6">
        <v>38.877958288830179</v>
      </c>
      <c r="AB129" s="6">
        <v>0.1855078981392996</v>
      </c>
      <c r="AC129" s="6">
        <f t="shared" si="9"/>
        <v>39.063466186969478</v>
      </c>
      <c r="AD129" s="6">
        <v>37.631914646874641</v>
      </c>
      <c r="AE129" s="6">
        <v>0.29378793150102439</v>
      </c>
      <c r="AF129" s="6">
        <f t="shared" si="10"/>
        <v>37.925702578375663</v>
      </c>
      <c r="AG129" s="6">
        <v>37.183463989622688</v>
      </c>
      <c r="AH129" s="6">
        <v>0.2622525520275224</v>
      </c>
      <c r="AI129" s="6">
        <f t="shared" si="11"/>
        <v>37.445716541650206</v>
      </c>
      <c r="AJ129">
        <v>16.026945488816121</v>
      </c>
      <c r="AK129" s="3">
        <v>141.00744248103891</v>
      </c>
      <c r="AL129">
        <v>47.269479592729269</v>
      </c>
      <c r="AM129">
        <v>33.522684165472718</v>
      </c>
      <c r="AN129">
        <v>43.235168693023773</v>
      </c>
      <c r="AO129">
        <v>100.93548962758091</v>
      </c>
      <c r="AP129">
        <v>40.334447031157723</v>
      </c>
      <c r="AQ129">
        <v>39.960619579870958</v>
      </c>
      <c r="AR129">
        <v>51.221795632601413</v>
      </c>
      <c r="AS129">
        <v>137.48439654848889</v>
      </c>
      <c r="AT129">
        <v>66.331292392460483</v>
      </c>
      <c r="AU129">
        <v>48.246414907939268</v>
      </c>
      <c r="AV129">
        <v>31.087442003431558</v>
      </c>
      <c r="AW129">
        <v>117.55755302209801</v>
      </c>
      <c r="AX129">
        <v>86.826090896277492</v>
      </c>
      <c r="AY129">
        <v>73.858368657908585</v>
      </c>
      <c r="AZ129">
        <v>46.484300661025067</v>
      </c>
      <c r="BA129">
        <v>133.73649298367391</v>
      </c>
      <c r="BB129">
        <v>77.54769004168476</v>
      </c>
      <c r="BC129">
        <v>57.98543711711622</v>
      </c>
      <c r="BD129">
        <v>42.775031598084652</v>
      </c>
      <c r="BE129">
        <v>139.4155666898572</v>
      </c>
      <c r="BF129">
        <v>93.704128706177343</v>
      </c>
      <c r="BG129">
        <v>67.212099000846024</v>
      </c>
      <c r="BH129">
        <v>0.85384501289171733</v>
      </c>
      <c r="BI129">
        <v>4.5986346993594399E-2</v>
      </c>
      <c r="BJ129">
        <v>0.85559561933330375</v>
      </c>
      <c r="BK129">
        <v>4.2163378412406798E-2</v>
      </c>
      <c r="BL129">
        <v>0.85326117869096807</v>
      </c>
      <c r="BM129">
        <v>4.40619765514354E-2</v>
      </c>
      <c r="BN129">
        <v>0.85250123310580883</v>
      </c>
      <c r="BO129">
        <v>4.7026316513741999E-2</v>
      </c>
      <c r="BP129">
        <v>0.85020124115679285</v>
      </c>
      <c r="BQ129">
        <v>5.0309074301993398E-2</v>
      </c>
      <c r="BR129">
        <v>0.8515617995240562</v>
      </c>
      <c r="BS129">
        <v>5.0889834181662E-2</v>
      </c>
    </row>
    <row r="130" spans="1:71" x14ac:dyDescent="0.3">
      <c r="A130" t="s">
        <v>667</v>
      </c>
      <c r="B130" t="s">
        <v>66</v>
      </c>
      <c r="C130" t="s">
        <v>200</v>
      </c>
      <c r="D130" t="s">
        <v>278</v>
      </c>
      <c r="E130" s="2">
        <v>43291</v>
      </c>
      <c r="F130" s="2">
        <v>0.45069444444379769</v>
      </c>
      <c r="G130">
        <v>99</v>
      </c>
      <c r="H130" s="2">
        <v>43326</v>
      </c>
      <c r="I130" s="2">
        <v>0.33333333333212067</v>
      </c>
      <c r="J130" t="s">
        <v>316</v>
      </c>
      <c r="K130">
        <v>144</v>
      </c>
      <c r="L130" t="s">
        <v>157</v>
      </c>
      <c r="M130" t="s">
        <v>299</v>
      </c>
      <c r="N130" t="s">
        <v>668</v>
      </c>
      <c r="O130" t="s">
        <v>669</v>
      </c>
      <c r="Q130" t="s">
        <v>406</v>
      </c>
      <c r="R130">
        <v>31.211419753086421</v>
      </c>
      <c r="S130">
        <v>0</v>
      </c>
      <c r="T130" s="6">
        <f t="shared" si="6"/>
        <v>31.211419753086421</v>
      </c>
      <c r="U130" s="6">
        <v>37.69770096200881</v>
      </c>
      <c r="V130" s="6">
        <v>0</v>
      </c>
      <c r="W130" s="6">
        <f t="shared" si="7"/>
        <v>37.69770096200881</v>
      </c>
      <c r="X130" s="6">
        <v>43.488724485248227</v>
      </c>
      <c r="Y130" s="6">
        <v>3.5653801586594168E-2</v>
      </c>
      <c r="Z130" s="6">
        <f t="shared" si="8"/>
        <v>43.524378286834818</v>
      </c>
      <c r="AA130" s="6">
        <v>44.810126582278478</v>
      </c>
      <c r="AB130" s="6">
        <v>0.23628691983122371</v>
      </c>
      <c r="AC130" s="6">
        <f t="shared" si="9"/>
        <v>45.046413502109701</v>
      </c>
      <c r="AD130" s="6">
        <v>41.776455588610283</v>
      </c>
      <c r="AE130" s="6">
        <v>0.28976548313564893</v>
      </c>
      <c r="AF130" s="6">
        <f t="shared" si="10"/>
        <v>42.066221071745929</v>
      </c>
      <c r="AG130" s="6">
        <v>38.867584028874347</v>
      </c>
      <c r="AH130" s="6">
        <v>0.33555154522896452</v>
      </c>
      <c r="AI130" s="6">
        <f t="shared" si="11"/>
        <v>39.203135574103314</v>
      </c>
      <c r="AJ130">
        <v>3.2617652879249022</v>
      </c>
      <c r="AK130" s="3">
        <v>81.595085821081426</v>
      </c>
      <c r="AL130">
        <v>28.129102840857762</v>
      </c>
      <c r="AM130">
        <v>34.474015877056843</v>
      </c>
      <c r="AN130">
        <v>5.4765441871324727</v>
      </c>
      <c r="AO130">
        <v>93.388717966258866</v>
      </c>
      <c r="AP130">
        <v>53.393073699492717</v>
      </c>
      <c r="AQ130">
        <v>57.172937868987049</v>
      </c>
      <c r="AR130">
        <v>9.8316048771223699</v>
      </c>
      <c r="AS130">
        <v>98.889735238803382</v>
      </c>
      <c r="AT130">
        <v>55.340442532217388</v>
      </c>
      <c r="AU130">
        <v>55.961766303225311</v>
      </c>
      <c r="AV130">
        <v>12.399664242699931</v>
      </c>
      <c r="AW130">
        <v>101.1741960231745</v>
      </c>
      <c r="AX130">
        <v>67.214316654552889</v>
      </c>
      <c r="AY130">
        <v>66.434248352373473</v>
      </c>
      <c r="AZ130">
        <v>10.8238307954113</v>
      </c>
      <c r="BA130">
        <v>95.582520634089477</v>
      </c>
      <c r="BB130">
        <v>63.864885684584323</v>
      </c>
      <c r="BC130">
        <v>66.816490359228837</v>
      </c>
      <c r="BD130">
        <v>11.083064597692649</v>
      </c>
      <c r="BE130">
        <v>94.485894933884126</v>
      </c>
      <c r="BF130">
        <v>55.858107582523928</v>
      </c>
      <c r="BG130">
        <v>59.117932493109443</v>
      </c>
      <c r="BH130">
        <v>0.81593871224931436</v>
      </c>
      <c r="BI130">
        <v>9.9034147721464696E-2</v>
      </c>
      <c r="BJ130">
        <v>0.82274885318535262</v>
      </c>
      <c r="BK130">
        <v>8.9821907927861405E-2</v>
      </c>
      <c r="BL130">
        <v>0.81144090573044847</v>
      </c>
      <c r="BM130">
        <v>9.9080037469727794E-2</v>
      </c>
      <c r="BN130">
        <v>0.80469755996364067</v>
      </c>
      <c r="BO130">
        <v>0.1007116359552481</v>
      </c>
      <c r="BP130">
        <v>0.79517735602034922</v>
      </c>
      <c r="BQ130">
        <v>0.1077020224660612</v>
      </c>
      <c r="BR130">
        <v>0.79062896781238889</v>
      </c>
      <c r="BS130">
        <v>0.1086139917557357</v>
      </c>
    </row>
    <row r="131" spans="1:71" x14ac:dyDescent="0.3">
      <c r="A131" t="s">
        <v>667</v>
      </c>
      <c r="B131" t="s">
        <v>76</v>
      </c>
      <c r="C131" t="s">
        <v>194</v>
      </c>
      <c r="D131" t="s">
        <v>420</v>
      </c>
      <c r="E131" s="2">
        <v>43291</v>
      </c>
      <c r="F131" s="2">
        <v>0.49305555555474712</v>
      </c>
      <c r="G131">
        <v>94</v>
      </c>
      <c r="H131" s="2">
        <v>43326</v>
      </c>
      <c r="I131" s="2">
        <v>0.40000000000145519</v>
      </c>
      <c r="J131" t="s">
        <v>225</v>
      </c>
      <c r="K131">
        <v>269</v>
      </c>
      <c r="L131" t="s">
        <v>157</v>
      </c>
      <c r="M131" t="s">
        <v>262</v>
      </c>
      <c r="N131" t="s">
        <v>670</v>
      </c>
      <c r="O131" t="s">
        <v>671</v>
      </c>
      <c r="P131" t="s">
        <v>672</v>
      </c>
      <c r="R131">
        <v>31.211419753086421</v>
      </c>
      <c r="S131">
        <v>0</v>
      </c>
      <c r="T131" s="6">
        <f t="shared" ref="T131:T163" si="12">SUM(R131+S131)</f>
        <v>31.211419753086421</v>
      </c>
      <c r="U131" s="6">
        <v>37.69770096200881</v>
      </c>
      <c r="V131" s="6">
        <v>0</v>
      </c>
      <c r="W131" s="6">
        <f t="shared" ref="W131:W163" si="13">SUM(U131+V131)</f>
        <v>37.69770096200881</v>
      </c>
      <c r="X131" s="6">
        <v>43.488724485248227</v>
      </c>
      <c r="Y131" s="6">
        <v>3.5653801586594168E-2</v>
      </c>
      <c r="Z131" s="6">
        <f t="shared" ref="Z131:Z163" si="14">SUM(X131+Y131)</f>
        <v>43.524378286834818</v>
      </c>
      <c r="AA131" s="6">
        <v>44.810126582278478</v>
      </c>
      <c r="AB131" s="6">
        <v>0.23628691983122371</v>
      </c>
      <c r="AC131" s="6">
        <f t="shared" ref="AC131:AC163" si="15">SUM(AA131+AB131)</f>
        <v>45.046413502109701</v>
      </c>
      <c r="AD131" s="6">
        <v>41.776455588610283</v>
      </c>
      <c r="AE131" s="6">
        <v>0.28976548313564893</v>
      </c>
      <c r="AF131" s="6">
        <f t="shared" ref="AF131:AF163" si="16">SUM(AD131+AE131)</f>
        <v>42.066221071745929</v>
      </c>
      <c r="AG131" s="6">
        <v>38.867584028874347</v>
      </c>
      <c r="AH131" s="6">
        <v>0.33555154522896452</v>
      </c>
      <c r="AI131" s="6">
        <f t="shared" ref="AI131:AI163" si="17">SUM(AG131+AH131)</f>
        <v>39.203135574103314</v>
      </c>
      <c r="AJ131">
        <v>3.2617652879249022</v>
      </c>
      <c r="AK131" s="3">
        <v>81.595085821081426</v>
      </c>
      <c r="AL131">
        <v>28.129102840857762</v>
      </c>
      <c r="AM131">
        <v>34.474015877056843</v>
      </c>
      <c r="AN131">
        <v>5.4765441871324727</v>
      </c>
      <c r="AO131">
        <v>93.388717966258866</v>
      </c>
      <c r="AP131">
        <v>53.393073699492717</v>
      </c>
      <c r="AQ131">
        <v>57.172937868987049</v>
      </c>
      <c r="AR131">
        <v>9.8316048771223699</v>
      </c>
      <c r="AS131">
        <v>98.889735238803382</v>
      </c>
      <c r="AT131">
        <v>55.340442532217388</v>
      </c>
      <c r="AU131">
        <v>55.961766303225311</v>
      </c>
      <c r="AV131">
        <v>12.399664242699931</v>
      </c>
      <c r="AW131">
        <v>101.1741960231745</v>
      </c>
      <c r="AX131">
        <v>67.214316654552889</v>
      </c>
      <c r="AY131">
        <v>66.434248352373473</v>
      </c>
      <c r="AZ131">
        <v>10.8238307954113</v>
      </c>
      <c r="BA131">
        <v>95.582520634089477</v>
      </c>
      <c r="BB131">
        <v>63.864885684584323</v>
      </c>
      <c r="BC131">
        <v>66.816490359228837</v>
      </c>
      <c r="BD131">
        <v>11.083064597692649</v>
      </c>
      <c r="BE131">
        <v>94.485894933884126</v>
      </c>
      <c r="BF131">
        <v>55.858107582523928</v>
      </c>
      <c r="BG131">
        <v>59.117932493109443</v>
      </c>
      <c r="BH131">
        <v>0.81593871224931436</v>
      </c>
      <c r="BI131">
        <v>9.9034147721464696E-2</v>
      </c>
      <c r="BJ131">
        <v>0.82274885318535262</v>
      </c>
      <c r="BK131">
        <v>8.9821907927861405E-2</v>
      </c>
      <c r="BL131">
        <v>0.81144090573044847</v>
      </c>
      <c r="BM131">
        <v>9.9080037469727794E-2</v>
      </c>
      <c r="BN131">
        <v>0.80469755996364067</v>
      </c>
      <c r="BO131">
        <v>0.1007116359552481</v>
      </c>
      <c r="BP131">
        <v>0.79517735602034922</v>
      </c>
      <c r="BQ131">
        <v>0.1077020224660612</v>
      </c>
      <c r="BR131">
        <v>0.79062896781238889</v>
      </c>
      <c r="BS131">
        <v>0.1086139917557357</v>
      </c>
    </row>
    <row r="132" spans="1:71" x14ac:dyDescent="0.3">
      <c r="A132" t="s">
        <v>667</v>
      </c>
      <c r="B132" t="s">
        <v>83</v>
      </c>
      <c r="C132" t="s">
        <v>204</v>
      </c>
      <c r="D132" t="s">
        <v>282</v>
      </c>
      <c r="E132" s="2">
        <v>43291</v>
      </c>
      <c r="F132" s="2">
        <v>0.57083333333503106</v>
      </c>
      <c r="G132">
        <v>97</v>
      </c>
      <c r="H132" s="2">
        <v>43326</v>
      </c>
      <c r="I132" s="2">
        <v>0.35416666666787933</v>
      </c>
      <c r="J132" t="s">
        <v>137</v>
      </c>
      <c r="K132">
        <v>53</v>
      </c>
      <c r="L132" t="s">
        <v>157</v>
      </c>
      <c r="M132" t="s">
        <v>299</v>
      </c>
      <c r="N132" t="s">
        <v>673</v>
      </c>
      <c r="O132" t="s">
        <v>674</v>
      </c>
      <c r="R132">
        <v>31.211419753086421</v>
      </c>
      <c r="S132">
        <v>0</v>
      </c>
      <c r="T132" s="6">
        <f t="shared" si="12"/>
        <v>31.211419753086421</v>
      </c>
      <c r="U132" s="6">
        <v>37.69770096200881</v>
      </c>
      <c r="V132" s="6">
        <v>0</v>
      </c>
      <c r="W132" s="6">
        <f t="shared" si="13"/>
        <v>37.69770096200881</v>
      </c>
      <c r="X132" s="6">
        <v>43.488724485248227</v>
      </c>
      <c r="Y132" s="6">
        <v>3.5653801586594168E-2</v>
      </c>
      <c r="Z132" s="6">
        <f t="shared" si="14"/>
        <v>43.524378286834818</v>
      </c>
      <c r="AA132" s="6">
        <v>44.810126582278478</v>
      </c>
      <c r="AB132" s="6">
        <v>0.23628691983122371</v>
      </c>
      <c r="AC132" s="6">
        <f t="shared" si="15"/>
        <v>45.046413502109701</v>
      </c>
      <c r="AD132" s="6">
        <v>41.776455588610283</v>
      </c>
      <c r="AE132" s="6">
        <v>0.28976548313564893</v>
      </c>
      <c r="AF132" s="6">
        <f t="shared" si="16"/>
        <v>42.066221071745929</v>
      </c>
      <c r="AG132" s="6">
        <v>38.867584028874347</v>
      </c>
      <c r="AH132" s="6">
        <v>0.33555154522896452</v>
      </c>
      <c r="AI132" s="6">
        <f t="shared" si="17"/>
        <v>39.203135574103314</v>
      </c>
      <c r="AJ132">
        <v>3.2617652879249022</v>
      </c>
      <c r="AK132" s="3">
        <v>81.595085821081426</v>
      </c>
      <c r="AL132">
        <v>28.129102840857762</v>
      </c>
      <c r="AM132">
        <v>34.474015877056843</v>
      </c>
      <c r="AN132">
        <v>5.4765441871324727</v>
      </c>
      <c r="AO132">
        <v>93.388717966258866</v>
      </c>
      <c r="AP132">
        <v>53.393073699492717</v>
      </c>
      <c r="AQ132">
        <v>57.172937868987049</v>
      </c>
      <c r="AR132">
        <v>9.8316048771223699</v>
      </c>
      <c r="AS132">
        <v>98.889735238803382</v>
      </c>
      <c r="AT132">
        <v>55.340442532217388</v>
      </c>
      <c r="AU132">
        <v>55.961766303225311</v>
      </c>
      <c r="AV132">
        <v>12.399664242699931</v>
      </c>
      <c r="AW132">
        <v>101.1741960231745</v>
      </c>
      <c r="AX132">
        <v>67.214316654552889</v>
      </c>
      <c r="AY132">
        <v>66.434248352373473</v>
      </c>
      <c r="AZ132">
        <v>10.8238307954113</v>
      </c>
      <c r="BA132">
        <v>95.582520634089477</v>
      </c>
      <c r="BB132">
        <v>63.864885684584323</v>
      </c>
      <c r="BC132">
        <v>66.816490359228837</v>
      </c>
      <c r="BD132">
        <v>11.083064597692649</v>
      </c>
      <c r="BE132">
        <v>94.485894933884126</v>
      </c>
      <c r="BF132">
        <v>55.858107582523928</v>
      </c>
      <c r="BG132">
        <v>59.117932493109443</v>
      </c>
      <c r="BH132">
        <v>0.81593871224931436</v>
      </c>
      <c r="BI132">
        <v>9.9034147721464696E-2</v>
      </c>
      <c r="BJ132">
        <v>0.82274885318535262</v>
      </c>
      <c r="BK132">
        <v>8.9821907927861405E-2</v>
      </c>
      <c r="BL132">
        <v>0.81144090573044847</v>
      </c>
      <c r="BM132">
        <v>9.9080037469727794E-2</v>
      </c>
      <c r="BN132">
        <v>0.80469755996364067</v>
      </c>
      <c r="BO132">
        <v>0.1007116359552481</v>
      </c>
      <c r="BP132">
        <v>0.79517735602034922</v>
      </c>
      <c r="BQ132">
        <v>0.1077020224660612</v>
      </c>
      <c r="BR132">
        <v>0.79062896781238889</v>
      </c>
      <c r="BS132">
        <v>0.1086139917557357</v>
      </c>
    </row>
    <row r="133" spans="1:71" x14ac:dyDescent="0.3">
      <c r="A133" t="s">
        <v>675</v>
      </c>
      <c r="B133" t="s">
        <v>66</v>
      </c>
      <c r="C133" t="s">
        <v>218</v>
      </c>
      <c r="D133" t="s">
        <v>121</v>
      </c>
      <c r="E133" s="2">
        <v>43007</v>
      </c>
      <c r="F133" s="2">
        <v>0.45208333333357592</v>
      </c>
      <c r="G133">
        <v>94</v>
      </c>
      <c r="H133" s="2">
        <v>43047</v>
      </c>
      <c r="I133" s="2">
        <v>0.38194444444525288</v>
      </c>
      <c r="J133" t="s">
        <v>137</v>
      </c>
      <c r="K133">
        <v>243</v>
      </c>
      <c r="L133" t="s">
        <v>157</v>
      </c>
      <c r="M133" t="s">
        <v>299</v>
      </c>
      <c r="N133" t="s">
        <v>676</v>
      </c>
      <c r="O133" t="s">
        <v>677</v>
      </c>
      <c r="P133" t="s">
        <v>678</v>
      </c>
      <c r="Q133" t="s">
        <v>679</v>
      </c>
      <c r="R133">
        <v>21.032357473035439</v>
      </c>
      <c r="S133">
        <v>6.3944530046224974</v>
      </c>
      <c r="T133" s="6">
        <f t="shared" si="12"/>
        <v>27.426810477657938</v>
      </c>
      <c r="U133" s="6">
        <v>18.821045794088992</v>
      </c>
      <c r="V133" s="6">
        <v>16.060409223773949</v>
      </c>
      <c r="W133" s="6">
        <f t="shared" si="13"/>
        <v>34.88145501786294</v>
      </c>
      <c r="X133" s="6">
        <v>14.607642290905851</v>
      </c>
      <c r="Y133" s="6">
        <v>14.32261512425403</v>
      </c>
      <c r="Z133" s="6">
        <f t="shared" si="14"/>
        <v>28.930257415159879</v>
      </c>
      <c r="AA133" s="6">
        <v>12.07797314757598</v>
      </c>
      <c r="AB133" s="6">
        <v>12.488062468400649</v>
      </c>
      <c r="AC133" s="6">
        <f t="shared" si="15"/>
        <v>24.566035615976631</v>
      </c>
      <c r="AD133" s="6">
        <v>10.66434916956354</v>
      </c>
      <c r="AE133" s="6">
        <v>11.10853611432986</v>
      </c>
      <c r="AF133" s="6">
        <f t="shared" si="16"/>
        <v>21.772885283893402</v>
      </c>
      <c r="AG133" s="6">
        <v>11.023466771839869</v>
      </c>
      <c r="AH133" s="6">
        <v>10.22903343944559</v>
      </c>
      <c r="AI133" s="6">
        <f t="shared" si="17"/>
        <v>21.252500211285458</v>
      </c>
      <c r="AJ133">
        <v>5.2129671941681277</v>
      </c>
      <c r="AK133" s="3">
        <v>89.389740552459344</v>
      </c>
      <c r="AL133">
        <v>41.962161693221297</v>
      </c>
      <c r="AM133">
        <v>46.942928163658053</v>
      </c>
      <c r="AN133">
        <v>13.239111909391349</v>
      </c>
      <c r="AO133">
        <v>70.71623871259257</v>
      </c>
      <c r="AP133">
        <v>26.265985259007842</v>
      </c>
      <c r="AQ133">
        <v>37.142791722505187</v>
      </c>
      <c r="AR133">
        <v>16.349095146881819</v>
      </c>
      <c r="AS133">
        <v>66.949603053779455</v>
      </c>
      <c r="AT133">
        <v>23.11716647271486</v>
      </c>
      <c r="AU133">
        <v>34.529206176390993</v>
      </c>
      <c r="AV133">
        <v>18.532082961412868</v>
      </c>
      <c r="AW133">
        <v>109.5861320117555</v>
      </c>
      <c r="AX133">
        <v>121.82223228665271</v>
      </c>
      <c r="AY133">
        <v>111.1657378997414</v>
      </c>
      <c r="AZ133">
        <v>21.618543125254909</v>
      </c>
      <c r="BA133">
        <v>155.33413922485079</v>
      </c>
      <c r="BB133">
        <v>233.3177651357216</v>
      </c>
      <c r="BC133">
        <v>150.2037905511468</v>
      </c>
      <c r="BD133">
        <v>18.986695472300831</v>
      </c>
      <c r="BE133">
        <v>103.0548550533193</v>
      </c>
      <c r="BF133">
        <v>133.30707985789769</v>
      </c>
      <c r="BG133">
        <v>129.35545810910739</v>
      </c>
      <c r="BH133">
        <v>0.75223823498101805</v>
      </c>
      <c r="BI133">
        <v>0.1551321741535675</v>
      </c>
      <c r="BJ133">
        <v>0.71179216705306014</v>
      </c>
      <c r="BK133">
        <v>0.14113768730602391</v>
      </c>
      <c r="BL133">
        <v>0.69848350748835952</v>
      </c>
      <c r="BM133">
        <v>0.14349521414831701</v>
      </c>
      <c r="BN133">
        <v>0.68954799413579071</v>
      </c>
      <c r="BO133">
        <v>0.1500966775878817</v>
      </c>
      <c r="BP133">
        <v>0.6971933791457755</v>
      </c>
      <c r="BQ133">
        <v>0.1532121982141246</v>
      </c>
      <c r="BR133">
        <v>0.71376721684863609</v>
      </c>
      <c r="BS133">
        <v>0.15377306880972791</v>
      </c>
    </row>
    <row r="134" spans="1:71" x14ac:dyDescent="0.3">
      <c r="A134" t="s">
        <v>675</v>
      </c>
      <c r="B134" t="s">
        <v>76</v>
      </c>
      <c r="C134" t="s">
        <v>155</v>
      </c>
      <c r="D134" t="s">
        <v>183</v>
      </c>
      <c r="E134" s="2">
        <v>43007</v>
      </c>
      <c r="F134" s="2">
        <v>0.56736111111240461</v>
      </c>
      <c r="G134">
        <v>98</v>
      </c>
      <c r="H134" s="2">
        <v>43047</v>
      </c>
      <c r="I134" s="2">
        <v>0.40138888888759539</v>
      </c>
      <c r="J134" t="s">
        <v>115</v>
      </c>
      <c r="K134">
        <v>340</v>
      </c>
      <c r="L134" t="s">
        <v>157</v>
      </c>
      <c r="M134" t="s">
        <v>71</v>
      </c>
      <c r="N134" t="s">
        <v>680</v>
      </c>
      <c r="O134" t="s">
        <v>681</v>
      </c>
      <c r="P134" t="s">
        <v>682</v>
      </c>
      <c r="R134">
        <v>21.032357473035439</v>
      </c>
      <c r="S134">
        <v>6.3944530046224974</v>
      </c>
      <c r="T134" s="6">
        <f t="shared" si="12"/>
        <v>27.426810477657938</v>
      </c>
      <c r="U134" s="6">
        <v>18.821045794088992</v>
      </c>
      <c r="V134" s="6">
        <v>16.060409223773949</v>
      </c>
      <c r="W134" s="6">
        <f t="shared" si="13"/>
        <v>34.88145501786294</v>
      </c>
      <c r="X134" s="6">
        <v>14.607642290905851</v>
      </c>
      <c r="Y134" s="6">
        <v>14.32261512425403</v>
      </c>
      <c r="Z134" s="6">
        <f t="shared" si="14"/>
        <v>28.930257415159879</v>
      </c>
      <c r="AA134" s="6">
        <v>12.07797314757598</v>
      </c>
      <c r="AB134" s="6">
        <v>12.488062468400649</v>
      </c>
      <c r="AC134" s="6">
        <f t="shared" si="15"/>
        <v>24.566035615976631</v>
      </c>
      <c r="AD134" s="6">
        <v>10.66434916956354</v>
      </c>
      <c r="AE134" s="6">
        <v>11.10853611432986</v>
      </c>
      <c r="AF134" s="6">
        <f t="shared" si="16"/>
        <v>21.772885283893402</v>
      </c>
      <c r="AG134" s="6">
        <v>11.023466771839869</v>
      </c>
      <c r="AH134" s="6">
        <v>10.22903343944559</v>
      </c>
      <c r="AI134" s="6">
        <f t="shared" si="17"/>
        <v>21.252500211285458</v>
      </c>
      <c r="AJ134">
        <v>5.2129671941681277</v>
      </c>
      <c r="AK134" s="3">
        <v>89.389740552459344</v>
      </c>
      <c r="AL134">
        <v>41.962161693221297</v>
      </c>
      <c r="AM134">
        <v>46.942928163658053</v>
      </c>
      <c r="AN134">
        <v>13.239111909391349</v>
      </c>
      <c r="AO134">
        <v>70.71623871259257</v>
      </c>
      <c r="AP134">
        <v>26.265985259007842</v>
      </c>
      <c r="AQ134">
        <v>37.142791722505187</v>
      </c>
      <c r="AR134">
        <v>16.349095146881819</v>
      </c>
      <c r="AS134">
        <v>66.949603053779455</v>
      </c>
      <c r="AT134">
        <v>23.11716647271486</v>
      </c>
      <c r="AU134">
        <v>34.529206176390993</v>
      </c>
      <c r="AV134">
        <v>18.532082961412868</v>
      </c>
      <c r="AW134">
        <v>109.5861320117555</v>
      </c>
      <c r="AX134">
        <v>121.82223228665271</v>
      </c>
      <c r="AY134">
        <v>111.1657378997414</v>
      </c>
      <c r="AZ134">
        <v>21.618543125254909</v>
      </c>
      <c r="BA134">
        <v>155.33413922485079</v>
      </c>
      <c r="BB134">
        <v>233.3177651357216</v>
      </c>
      <c r="BC134">
        <v>150.2037905511468</v>
      </c>
      <c r="BD134">
        <v>18.986695472300831</v>
      </c>
      <c r="BE134">
        <v>103.0548550533193</v>
      </c>
      <c r="BF134">
        <v>133.30707985789769</v>
      </c>
      <c r="BG134">
        <v>129.35545810910739</v>
      </c>
      <c r="BH134">
        <v>0.75223823498101805</v>
      </c>
      <c r="BI134">
        <v>0.1551321741535675</v>
      </c>
      <c r="BJ134">
        <v>0.71179216705306014</v>
      </c>
      <c r="BK134">
        <v>0.14113768730602391</v>
      </c>
      <c r="BL134">
        <v>0.69848350748835952</v>
      </c>
      <c r="BM134">
        <v>0.14349521414831701</v>
      </c>
      <c r="BN134">
        <v>0.68954799413579071</v>
      </c>
      <c r="BO134">
        <v>0.1500966775878817</v>
      </c>
      <c r="BP134">
        <v>0.6971933791457755</v>
      </c>
      <c r="BQ134">
        <v>0.1532121982141246</v>
      </c>
      <c r="BR134">
        <v>0.71376721684863609</v>
      </c>
      <c r="BS134">
        <v>0.15377306880972791</v>
      </c>
    </row>
    <row r="135" spans="1:71" x14ac:dyDescent="0.3">
      <c r="A135" t="s">
        <v>675</v>
      </c>
      <c r="B135" t="s">
        <v>83</v>
      </c>
      <c r="C135" t="s">
        <v>194</v>
      </c>
      <c r="D135" t="s">
        <v>465</v>
      </c>
      <c r="E135" s="2">
        <v>43007</v>
      </c>
      <c r="F135" s="2">
        <v>0.60555555555401952</v>
      </c>
      <c r="G135">
        <v>91</v>
      </c>
      <c r="H135" s="2">
        <v>43047</v>
      </c>
      <c r="I135" s="2">
        <v>0.35347222222117131</v>
      </c>
      <c r="J135" t="s">
        <v>144</v>
      </c>
      <c r="K135">
        <v>182</v>
      </c>
      <c r="L135" t="s">
        <v>207</v>
      </c>
      <c r="M135" t="s">
        <v>184</v>
      </c>
      <c r="N135" t="s">
        <v>683</v>
      </c>
      <c r="O135" t="s">
        <v>684</v>
      </c>
      <c r="P135" t="s">
        <v>685</v>
      </c>
      <c r="Q135" t="s">
        <v>439</v>
      </c>
      <c r="R135">
        <v>21.032357473035439</v>
      </c>
      <c r="S135">
        <v>6.3944530046224974</v>
      </c>
      <c r="T135" s="6">
        <f t="shared" si="12"/>
        <v>27.426810477657938</v>
      </c>
      <c r="U135" s="6">
        <v>18.821045794088992</v>
      </c>
      <c r="V135" s="6">
        <v>16.060409223773949</v>
      </c>
      <c r="W135" s="6">
        <f t="shared" si="13"/>
        <v>34.88145501786294</v>
      </c>
      <c r="X135" s="6">
        <v>14.607642290905851</v>
      </c>
      <c r="Y135" s="6">
        <v>14.32261512425403</v>
      </c>
      <c r="Z135" s="6">
        <f t="shared" si="14"/>
        <v>28.930257415159879</v>
      </c>
      <c r="AA135" s="6">
        <v>12.07797314757598</v>
      </c>
      <c r="AB135" s="6">
        <v>12.488062468400649</v>
      </c>
      <c r="AC135" s="6">
        <f t="shared" si="15"/>
        <v>24.566035615976631</v>
      </c>
      <c r="AD135" s="6">
        <v>10.66434916956354</v>
      </c>
      <c r="AE135" s="6">
        <v>11.10853611432986</v>
      </c>
      <c r="AF135" s="6">
        <f t="shared" si="16"/>
        <v>21.772885283893402</v>
      </c>
      <c r="AG135" s="6">
        <v>11.023466771839869</v>
      </c>
      <c r="AH135" s="6">
        <v>10.22903343944559</v>
      </c>
      <c r="AI135" s="6">
        <f t="shared" si="17"/>
        <v>21.252500211285458</v>
      </c>
      <c r="AJ135">
        <v>5.2129671941681277</v>
      </c>
      <c r="AK135" s="3">
        <v>89.389740552459344</v>
      </c>
      <c r="AL135">
        <v>41.962161693221297</v>
      </c>
      <c r="AM135">
        <v>46.942928163658053</v>
      </c>
      <c r="AN135">
        <v>13.239111909391349</v>
      </c>
      <c r="AO135">
        <v>70.71623871259257</v>
      </c>
      <c r="AP135">
        <v>26.265985259007842</v>
      </c>
      <c r="AQ135">
        <v>37.142791722505187</v>
      </c>
      <c r="AR135">
        <v>16.349095146881819</v>
      </c>
      <c r="AS135">
        <v>66.949603053779455</v>
      </c>
      <c r="AT135">
        <v>23.11716647271486</v>
      </c>
      <c r="AU135">
        <v>34.529206176390993</v>
      </c>
      <c r="AV135">
        <v>18.532082961412868</v>
      </c>
      <c r="AW135">
        <v>109.5861320117555</v>
      </c>
      <c r="AX135">
        <v>121.82223228665271</v>
      </c>
      <c r="AY135">
        <v>111.1657378997414</v>
      </c>
      <c r="AZ135">
        <v>21.618543125254909</v>
      </c>
      <c r="BA135">
        <v>155.33413922485079</v>
      </c>
      <c r="BB135">
        <v>233.3177651357216</v>
      </c>
      <c r="BC135">
        <v>150.2037905511468</v>
      </c>
      <c r="BD135">
        <v>18.986695472300831</v>
      </c>
      <c r="BE135">
        <v>103.0548550533193</v>
      </c>
      <c r="BF135">
        <v>133.30707985789769</v>
      </c>
      <c r="BG135">
        <v>129.35545810910739</v>
      </c>
      <c r="BH135">
        <v>0.75223823498101805</v>
      </c>
      <c r="BI135">
        <v>0.1551321741535675</v>
      </c>
      <c r="BJ135">
        <v>0.71179216705306014</v>
      </c>
      <c r="BK135">
        <v>0.14113768730602391</v>
      </c>
      <c r="BL135">
        <v>0.69848350748835952</v>
      </c>
      <c r="BM135">
        <v>0.14349521414831701</v>
      </c>
      <c r="BN135">
        <v>0.68954799413579071</v>
      </c>
      <c r="BO135">
        <v>0.1500966775878817</v>
      </c>
      <c r="BP135">
        <v>0.6971933791457755</v>
      </c>
      <c r="BQ135">
        <v>0.1532121982141246</v>
      </c>
      <c r="BR135">
        <v>0.71376721684863609</v>
      </c>
      <c r="BS135">
        <v>0.15377306880972791</v>
      </c>
    </row>
    <row r="136" spans="1:71" x14ac:dyDescent="0.3">
      <c r="A136" t="s">
        <v>686</v>
      </c>
      <c r="B136" t="s">
        <v>66</v>
      </c>
      <c r="C136" t="s">
        <v>363</v>
      </c>
      <c r="D136" t="s">
        <v>247</v>
      </c>
      <c r="E136" s="2">
        <v>43290</v>
      </c>
      <c r="F136" s="2">
        <v>0.46597222222044371</v>
      </c>
      <c r="G136">
        <v>97</v>
      </c>
      <c r="H136" s="2">
        <v>43325</v>
      </c>
      <c r="I136" s="2">
        <v>0.625</v>
      </c>
      <c r="J136" t="s">
        <v>86</v>
      </c>
      <c r="K136">
        <v>237</v>
      </c>
      <c r="L136" t="s">
        <v>157</v>
      </c>
      <c r="M136" t="s">
        <v>299</v>
      </c>
      <c r="N136" t="s">
        <v>687</v>
      </c>
      <c r="O136" t="s">
        <v>688</v>
      </c>
      <c r="P136" t="s">
        <v>689</v>
      </c>
      <c r="R136">
        <v>24.62485571373605</v>
      </c>
      <c r="S136">
        <v>0</v>
      </c>
      <c r="T136" s="6">
        <f t="shared" si="12"/>
        <v>24.62485571373605</v>
      </c>
      <c r="U136" s="6">
        <v>33.446988147426516</v>
      </c>
      <c r="V136" s="6">
        <v>0</v>
      </c>
      <c r="W136" s="6">
        <f t="shared" si="13"/>
        <v>33.446988147426516</v>
      </c>
      <c r="X136" s="6">
        <v>35.010687566797287</v>
      </c>
      <c r="Y136" s="6">
        <v>0</v>
      </c>
      <c r="Z136" s="6">
        <f t="shared" si="14"/>
        <v>35.010687566797287</v>
      </c>
      <c r="AA136" s="6">
        <v>34.301606922126084</v>
      </c>
      <c r="AB136" s="6">
        <v>0</v>
      </c>
      <c r="AC136" s="6">
        <f t="shared" si="15"/>
        <v>34.301606922126084</v>
      </c>
      <c r="AD136" s="6">
        <v>31.551897364556758</v>
      </c>
      <c r="AE136" s="6">
        <v>0</v>
      </c>
      <c r="AF136" s="6">
        <f t="shared" si="16"/>
        <v>31.551897364556758</v>
      </c>
      <c r="AG136" s="6">
        <v>29.62482735293289</v>
      </c>
      <c r="AH136" s="6">
        <v>2.8187276263494661E-2</v>
      </c>
      <c r="AI136" s="6">
        <f t="shared" si="17"/>
        <v>29.653014629196385</v>
      </c>
      <c r="AJ136">
        <v>5.1543945290652093</v>
      </c>
      <c r="AK136" s="3">
        <v>157.19439395504699</v>
      </c>
      <c r="AL136">
        <v>114.3744886316058</v>
      </c>
      <c r="AM136">
        <v>72.759903043561152</v>
      </c>
      <c r="AN136">
        <v>7.5412306320138942</v>
      </c>
      <c r="AO136">
        <v>98.7088396727695</v>
      </c>
      <c r="AP136">
        <v>58.042216466990347</v>
      </c>
      <c r="AQ136">
        <v>58.80143729721329</v>
      </c>
      <c r="AR136">
        <v>11.722668112980401</v>
      </c>
      <c r="AS136">
        <v>119.92352505735541</v>
      </c>
      <c r="AT136">
        <v>89.890615060494525</v>
      </c>
      <c r="AU136">
        <v>74.956615074067315</v>
      </c>
      <c r="AV136">
        <v>9.8303968159037147</v>
      </c>
      <c r="AW136">
        <v>110.2945154774165</v>
      </c>
      <c r="AX136">
        <v>71.698857165137113</v>
      </c>
      <c r="AY136">
        <v>65.006729350760764</v>
      </c>
      <c r="AZ136">
        <v>9.1309293708251325</v>
      </c>
      <c r="BA136">
        <v>115.0019608340573</v>
      </c>
      <c r="BB136">
        <v>79.533723992130405</v>
      </c>
      <c r="BC136">
        <v>69.15858078880413</v>
      </c>
      <c r="BD136">
        <v>10.08443483197799</v>
      </c>
      <c r="BE136">
        <v>118.2117117398374</v>
      </c>
      <c r="BF136">
        <v>93.061224993438316</v>
      </c>
      <c r="BG136">
        <v>78.724200524436398</v>
      </c>
      <c r="BH136">
        <v>0.85063148903025676</v>
      </c>
      <c r="BI136">
        <v>6.4231730082180805E-2</v>
      </c>
      <c r="BJ136">
        <v>0.85640341788613217</v>
      </c>
      <c r="BK136">
        <v>5.6643076438380797E-2</v>
      </c>
      <c r="BL136">
        <v>0.85731412349717306</v>
      </c>
      <c r="BM136">
        <v>5.7832192147748603E-2</v>
      </c>
      <c r="BN136">
        <v>0.85813473211797353</v>
      </c>
      <c r="BO136">
        <v>5.6721896245851201E-2</v>
      </c>
      <c r="BP136">
        <v>0.85181232872736101</v>
      </c>
      <c r="BQ136">
        <v>6.4181783822153698E-2</v>
      </c>
      <c r="BR136">
        <v>0.84602172953199728</v>
      </c>
      <c r="BS136">
        <v>6.9260808890313996E-2</v>
      </c>
    </row>
    <row r="137" spans="1:71" x14ac:dyDescent="0.3">
      <c r="A137" t="s">
        <v>686</v>
      </c>
      <c r="B137" t="s">
        <v>76</v>
      </c>
      <c r="C137" t="s">
        <v>376</v>
      </c>
      <c r="D137" t="s">
        <v>293</v>
      </c>
      <c r="E137" s="2">
        <v>43290</v>
      </c>
      <c r="F137" s="2">
        <v>0.60138888888832298</v>
      </c>
      <c r="G137">
        <v>95</v>
      </c>
      <c r="H137" s="2">
        <v>43325</v>
      </c>
      <c r="I137" s="2">
        <v>0.64930555555474712</v>
      </c>
      <c r="J137" t="s">
        <v>137</v>
      </c>
      <c r="K137">
        <v>162</v>
      </c>
      <c r="L137" t="s">
        <v>157</v>
      </c>
      <c r="M137" t="s">
        <v>299</v>
      </c>
      <c r="N137" t="s">
        <v>690</v>
      </c>
      <c r="O137" t="s">
        <v>691</v>
      </c>
      <c r="R137">
        <v>24.62485571373605</v>
      </c>
      <c r="S137">
        <v>0</v>
      </c>
      <c r="T137" s="6">
        <f t="shared" si="12"/>
        <v>24.62485571373605</v>
      </c>
      <c r="U137" s="6">
        <v>33.446988147426516</v>
      </c>
      <c r="V137" s="6">
        <v>0</v>
      </c>
      <c r="W137" s="6">
        <f t="shared" si="13"/>
        <v>33.446988147426516</v>
      </c>
      <c r="X137" s="6">
        <v>35.010687566797287</v>
      </c>
      <c r="Y137" s="6">
        <v>0</v>
      </c>
      <c r="Z137" s="6">
        <f t="shared" si="14"/>
        <v>35.010687566797287</v>
      </c>
      <c r="AA137" s="6">
        <v>34.301606922126084</v>
      </c>
      <c r="AB137" s="6">
        <v>0</v>
      </c>
      <c r="AC137" s="6">
        <f t="shared" si="15"/>
        <v>34.301606922126084</v>
      </c>
      <c r="AD137" s="6">
        <v>31.551897364556758</v>
      </c>
      <c r="AE137" s="6">
        <v>0</v>
      </c>
      <c r="AF137" s="6">
        <f t="shared" si="16"/>
        <v>31.551897364556758</v>
      </c>
      <c r="AG137" s="6">
        <v>29.62482735293289</v>
      </c>
      <c r="AH137" s="6">
        <v>2.8187276263494661E-2</v>
      </c>
      <c r="AI137" s="6">
        <f t="shared" si="17"/>
        <v>29.653014629196385</v>
      </c>
      <c r="AJ137">
        <v>5.1543945290652093</v>
      </c>
      <c r="AK137" s="3">
        <v>157.19439395504699</v>
      </c>
      <c r="AL137">
        <v>114.3744886316058</v>
      </c>
      <c r="AM137">
        <v>72.759903043561152</v>
      </c>
      <c r="AN137">
        <v>7.5412306320138942</v>
      </c>
      <c r="AO137">
        <v>98.7088396727695</v>
      </c>
      <c r="AP137">
        <v>58.042216466990347</v>
      </c>
      <c r="AQ137">
        <v>58.80143729721329</v>
      </c>
      <c r="AR137">
        <v>11.722668112980401</v>
      </c>
      <c r="AS137">
        <v>119.92352505735541</v>
      </c>
      <c r="AT137">
        <v>89.890615060494525</v>
      </c>
      <c r="AU137">
        <v>74.956615074067315</v>
      </c>
      <c r="AV137">
        <v>9.8303968159037147</v>
      </c>
      <c r="AW137">
        <v>110.2945154774165</v>
      </c>
      <c r="AX137">
        <v>71.698857165137113</v>
      </c>
      <c r="AY137">
        <v>65.006729350760764</v>
      </c>
      <c r="AZ137">
        <v>9.1309293708251325</v>
      </c>
      <c r="BA137">
        <v>115.0019608340573</v>
      </c>
      <c r="BB137">
        <v>79.533723992130405</v>
      </c>
      <c r="BC137">
        <v>69.15858078880413</v>
      </c>
      <c r="BD137">
        <v>10.08443483197799</v>
      </c>
      <c r="BE137">
        <v>118.2117117398374</v>
      </c>
      <c r="BF137">
        <v>93.061224993438316</v>
      </c>
      <c r="BG137">
        <v>78.724200524436398</v>
      </c>
      <c r="BH137">
        <v>0.85063148903025676</v>
      </c>
      <c r="BI137">
        <v>6.4231730082180805E-2</v>
      </c>
      <c r="BJ137">
        <v>0.85640341788613217</v>
      </c>
      <c r="BK137">
        <v>5.6643076438380797E-2</v>
      </c>
      <c r="BL137">
        <v>0.85731412349717306</v>
      </c>
      <c r="BM137">
        <v>5.7832192147748603E-2</v>
      </c>
      <c r="BN137">
        <v>0.85813473211797353</v>
      </c>
      <c r="BO137">
        <v>5.6721896245851201E-2</v>
      </c>
      <c r="BP137">
        <v>0.85181232872736101</v>
      </c>
      <c r="BQ137">
        <v>6.4181783822153698E-2</v>
      </c>
      <c r="BR137">
        <v>0.84602172953199728</v>
      </c>
      <c r="BS137">
        <v>6.9260808890313996E-2</v>
      </c>
    </row>
    <row r="138" spans="1:71" x14ac:dyDescent="0.3">
      <c r="A138" t="s">
        <v>686</v>
      </c>
      <c r="B138" t="s">
        <v>83</v>
      </c>
      <c r="C138" t="s">
        <v>84</v>
      </c>
      <c r="D138" t="s">
        <v>297</v>
      </c>
      <c r="E138" s="2">
        <v>43290</v>
      </c>
      <c r="F138" s="2">
        <v>0.63819444444379769</v>
      </c>
      <c r="G138">
        <v>98</v>
      </c>
      <c r="H138" s="2">
        <v>43325</v>
      </c>
      <c r="I138" s="2">
        <v>0.63888888889050577</v>
      </c>
      <c r="J138" t="s">
        <v>130</v>
      </c>
      <c r="K138">
        <v>264</v>
      </c>
      <c r="L138" t="s">
        <v>157</v>
      </c>
      <c r="M138" t="s">
        <v>262</v>
      </c>
      <c r="N138" t="s">
        <v>692</v>
      </c>
      <c r="O138" t="s">
        <v>693</v>
      </c>
      <c r="R138">
        <v>24.62485571373605</v>
      </c>
      <c r="S138">
        <v>0</v>
      </c>
      <c r="T138" s="6">
        <f t="shared" si="12"/>
        <v>24.62485571373605</v>
      </c>
      <c r="U138" s="6">
        <v>33.446988147426516</v>
      </c>
      <c r="V138" s="6">
        <v>0</v>
      </c>
      <c r="W138" s="6">
        <f t="shared" si="13"/>
        <v>33.446988147426516</v>
      </c>
      <c r="X138" s="6">
        <v>35.010687566797287</v>
      </c>
      <c r="Y138" s="6">
        <v>0</v>
      </c>
      <c r="Z138" s="6">
        <f t="shared" si="14"/>
        <v>35.010687566797287</v>
      </c>
      <c r="AA138" s="6">
        <v>34.301606922126084</v>
      </c>
      <c r="AB138" s="6">
        <v>0</v>
      </c>
      <c r="AC138" s="6">
        <f t="shared" si="15"/>
        <v>34.301606922126084</v>
      </c>
      <c r="AD138" s="6">
        <v>31.551897364556758</v>
      </c>
      <c r="AE138" s="6">
        <v>0</v>
      </c>
      <c r="AF138" s="6">
        <f t="shared" si="16"/>
        <v>31.551897364556758</v>
      </c>
      <c r="AG138" s="6">
        <v>29.62482735293289</v>
      </c>
      <c r="AH138" s="6">
        <v>2.8187276263494661E-2</v>
      </c>
      <c r="AI138" s="6">
        <f t="shared" si="17"/>
        <v>29.653014629196385</v>
      </c>
      <c r="AJ138">
        <v>5.1543945290652093</v>
      </c>
      <c r="AK138" s="3">
        <v>157.19439395504699</v>
      </c>
      <c r="AL138">
        <v>114.3744886316058</v>
      </c>
      <c r="AM138">
        <v>72.759903043561152</v>
      </c>
      <c r="AN138">
        <v>7.5412306320138942</v>
      </c>
      <c r="AO138">
        <v>98.7088396727695</v>
      </c>
      <c r="AP138">
        <v>58.042216466990347</v>
      </c>
      <c r="AQ138">
        <v>58.80143729721329</v>
      </c>
      <c r="AR138">
        <v>11.722668112980401</v>
      </c>
      <c r="AS138">
        <v>119.92352505735541</v>
      </c>
      <c r="AT138">
        <v>89.890615060494525</v>
      </c>
      <c r="AU138">
        <v>74.956615074067315</v>
      </c>
      <c r="AV138">
        <v>9.8303968159037147</v>
      </c>
      <c r="AW138">
        <v>110.2945154774165</v>
      </c>
      <c r="AX138">
        <v>71.698857165137113</v>
      </c>
      <c r="AY138">
        <v>65.006729350760764</v>
      </c>
      <c r="AZ138">
        <v>9.1309293708251325</v>
      </c>
      <c r="BA138">
        <v>115.0019608340573</v>
      </c>
      <c r="BB138">
        <v>79.533723992130405</v>
      </c>
      <c r="BC138">
        <v>69.15858078880413</v>
      </c>
      <c r="BD138">
        <v>10.08443483197799</v>
      </c>
      <c r="BE138">
        <v>118.2117117398374</v>
      </c>
      <c r="BF138">
        <v>93.061224993438316</v>
      </c>
      <c r="BG138">
        <v>78.724200524436398</v>
      </c>
      <c r="BH138">
        <v>0.85063148903025676</v>
      </c>
      <c r="BI138">
        <v>6.4231730082180805E-2</v>
      </c>
      <c r="BJ138">
        <v>0.85640341788613217</v>
      </c>
      <c r="BK138">
        <v>5.6643076438380797E-2</v>
      </c>
      <c r="BL138">
        <v>0.85731412349717306</v>
      </c>
      <c r="BM138">
        <v>5.7832192147748603E-2</v>
      </c>
      <c r="BN138">
        <v>0.85813473211797353</v>
      </c>
      <c r="BO138">
        <v>5.6721896245851201E-2</v>
      </c>
      <c r="BP138">
        <v>0.85181232872736101</v>
      </c>
      <c r="BQ138">
        <v>6.4181783822153698E-2</v>
      </c>
      <c r="BR138">
        <v>0.84602172953199728</v>
      </c>
      <c r="BS138">
        <v>6.9260808890313996E-2</v>
      </c>
    </row>
    <row r="139" spans="1:71" x14ac:dyDescent="0.3">
      <c r="A139" t="s">
        <v>694</v>
      </c>
      <c r="B139" t="s">
        <v>66</v>
      </c>
      <c r="C139" t="s">
        <v>303</v>
      </c>
      <c r="D139" t="s">
        <v>95</v>
      </c>
      <c r="E139" s="2">
        <v>43286</v>
      </c>
      <c r="F139" s="2">
        <v>0.60763888889050577</v>
      </c>
      <c r="G139">
        <v>92</v>
      </c>
      <c r="H139" s="2">
        <v>43320</v>
      </c>
      <c r="I139" s="2">
        <v>0.39930555555474712</v>
      </c>
      <c r="J139" t="s">
        <v>137</v>
      </c>
      <c r="K139">
        <v>339</v>
      </c>
      <c r="L139" t="s">
        <v>220</v>
      </c>
      <c r="M139" t="s">
        <v>299</v>
      </c>
      <c r="N139" t="s">
        <v>695</v>
      </c>
      <c r="O139" t="s">
        <v>696</v>
      </c>
      <c r="P139" t="s">
        <v>697</v>
      </c>
      <c r="R139">
        <v>63.685220729366598</v>
      </c>
      <c r="S139">
        <v>0</v>
      </c>
      <c r="T139" s="6">
        <f t="shared" si="12"/>
        <v>63.685220729366598</v>
      </c>
      <c r="U139" s="6">
        <v>67.839687194525908</v>
      </c>
      <c r="V139" s="6">
        <v>0</v>
      </c>
      <c r="W139" s="6">
        <f t="shared" si="13"/>
        <v>67.839687194525908</v>
      </c>
      <c r="X139" s="6">
        <v>67.194449386230204</v>
      </c>
      <c r="Y139" s="6">
        <v>0</v>
      </c>
      <c r="Z139" s="6">
        <f t="shared" si="14"/>
        <v>67.194449386230204</v>
      </c>
      <c r="AA139" s="6">
        <v>66.027659096019789</v>
      </c>
      <c r="AB139" s="6">
        <v>0</v>
      </c>
      <c r="AC139" s="6">
        <f t="shared" si="15"/>
        <v>66.027659096019789</v>
      </c>
      <c r="AD139" s="6">
        <v>65.915405989502929</v>
      </c>
      <c r="AE139" s="6">
        <v>0</v>
      </c>
      <c r="AF139" s="6">
        <f t="shared" si="16"/>
        <v>65.915405989502929</v>
      </c>
      <c r="AG139" s="6">
        <v>64.578870222121992</v>
      </c>
      <c r="AH139" s="6">
        <v>2.8188070808433871E-2</v>
      </c>
      <c r="AI139" s="6">
        <f t="shared" si="17"/>
        <v>64.607058292930432</v>
      </c>
      <c r="AJ139">
        <v>133.6115706831126</v>
      </c>
      <c r="AK139" s="3">
        <v>0</v>
      </c>
      <c r="AL139" s="6">
        <v>0</v>
      </c>
      <c r="AM139" s="6">
        <v>0</v>
      </c>
      <c r="AN139">
        <v>335.43833146186</v>
      </c>
      <c r="AO139">
        <v>0</v>
      </c>
      <c r="AP139">
        <v>0</v>
      </c>
      <c r="AQ139">
        <v>0</v>
      </c>
      <c r="AR139">
        <v>304.14954592216412</v>
      </c>
      <c r="AS139">
        <v>56.758229187619243</v>
      </c>
      <c r="AT139">
        <v>0</v>
      </c>
      <c r="AU139">
        <v>0</v>
      </c>
      <c r="AV139">
        <v>945.75085866915595</v>
      </c>
      <c r="AW139">
        <v>0</v>
      </c>
      <c r="AX139">
        <v>0</v>
      </c>
      <c r="AY139">
        <v>0</v>
      </c>
      <c r="AZ139">
        <v>1373.5656045815731</v>
      </c>
      <c r="BA139">
        <v>0</v>
      </c>
      <c r="BB139">
        <v>0</v>
      </c>
      <c r="BC139">
        <v>0</v>
      </c>
      <c r="BD139">
        <v>1845.756465892641</v>
      </c>
      <c r="BE139">
        <v>0</v>
      </c>
      <c r="BF139">
        <v>0</v>
      </c>
      <c r="BG139">
        <v>0</v>
      </c>
      <c r="BH139">
        <v>0.81069499696139224</v>
      </c>
      <c r="BI139">
        <v>4.1049940558216397E-2</v>
      </c>
      <c r="BJ139">
        <v>0.80867787062062624</v>
      </c>
      <c r="BK139">
        <v>4.0685908435288201E-2</v>
      </c>
      <c r="BL139">
        <v>0.80891224578581267</v>
      </c>
      <c r="BM139">
        <v>4.0443324963443099E-2</v>
      </c>
      <c r="BN139">
        <v>0.80682703707069181</v>
      </c>
      <c r="BO139">
        <v>4.0541712100855803E-2</v>
      </c>
      <c r="BP139">
        <v>0.80808632084791476</v>
      </c>
      <c r="BQ139">
        <v>4.1245098464062498E-2</v>
      </c>
      <c r="BR139">
        <v>0.80647886648847777</v>
      </c>
      <c r="BS139">
        <v>4.67517045251718E-2</v>
      </c>
    </row>
    <row r="140" spans="1:71" x14ac:dyDescent="0.3">
      <c r="A140" t="s">
        <v>694</v>
      </c>
      <c r="B140" t="s">
        <v>76</v>
      </c>
      <c r="C140" t="s">
        <v>77</v>
      </c>
      <c r="D140" t="s">
        <v>205</v>
      </c>
      <c r="E140" s="2">
        <v>43286</v>
      </c>
      <c r="F140" s="2">
        <v>0.65763888888977817</v>
      </c>
      <c r="G140">
        <v>95</v>
      </c>
      <c r="H140" s="2">
        <v>43320</v>
      </c>
      <c r="I140" s="2">
        <v>0.40972222222262639</v>
      </c>
      <c r="J140" t="s">
        <v>86</v>
      </c>
      <c r="K140">
        <v>215</v>
      </c>
      <c r="L140" t="s">
        <v>220</v>
      </c>
      <c r="M140" t="s">
        <v>299</v>
      </c>
      <c r="N140" t="s">
        <v>698</v>
      </c>
      <c r="O140" t="s">
        <v>699</v>
      </c>
      <c r="P140" t="s">
        <v>700</v>
      </c>
      <c r="R140">
        <v>63.685220729366598</v>
      </c>
      <c r="S140">
        <v>0</v>
      </c>
      <c r="T140" s="6">
        <f t="shared" si="12"/>
        <v>63.685220729366598</v>
      </c>
      <c r="U140" s="6">
        <v>67.839687194525908</v>
      </c>
      <c r="V140" s="6">
        <v>0</v>
      </c>
      <c r="W140" s="6">
        <f t="shared" si="13"/>
        <v>67.839687194525908</v>
      </c>
      <c r="X140" s="6">
        <v>67.194449386230204</v>
      </c>
      <c r="Y140" s="6">
        <v>0</v>
      </c>
      <c r="Z140" s="6">
        <f t="shared" si="14"/>
        <v>67.194449386230204</v>
      </c>
      <c r="AA140" s="6">
        <v>66.027659096019789</v>
      </c>
      <c r="AB140" s="6">
        <v>0</v>
      </c>
      <c r="AC140" s="6">
        <f t="shared" si="15"/>
        <v>66.027659096019789</v>
      </c>
      <c r="AD140" s="6">
        <v>65.915405989502929</v>
      </c>
      <c r="AE140" s="6">
        <v>0</v>
      </c>
      <c r="AF140" s="6">
        <f t="shared" si="16"/>
        <v>65.915405989502929</v>
      </c>
      <c r="AG140" s="6">
        <v>64.578870222121992</v>
      </c>
      <c r="AH140" s="6">
        <v>2.8188070808433871E-2</v>
      </c>
      <c r="AI140" s="6">
        <f t="shared" si="17"/>
        <v>64.607058292930432</v>
      </c>
      <c r="AJ140">
        <v>133.6115706831126</v>
      </c>
      <c r="AK140" s="3">
        <v>0</v>
      </c>
      <c r="AL140" s="6">
        <v>0</v>
      </c>
      <c r="AM140">
        <v>0</v>
      </c>
      <c r="AN140">
        <v>335.43833146186</v>
      </c>
      <c r="AO140">
        <v>0</v>
      </c>
      <c r="AP140">
        <v>0</v>
      </c>
      <c r="AQ140">
        <v>0</v>
      </c>
      <c r="AR140">
        <v>304.14954592216412</v>
      </c>
      <c r="AS140">
        <v>56.758229187619243</v>
      </c>
      <c r="AT140">
        <v>0</v>
      </c>
      <c r="AU140">
        <v>0</v>
      </c>
      <c r="AV140">
        <v>945.75085866915595</v>
      </c>
      <c r="AW140">
        <v>0</v>
      </c>
      <c r="AX140">
        <v>0</v>
      </c>
      <c r="AY140">
        <v>0</v>
      </c>
      <c r="AZ140">
        <v>1373.5656045815731</v>
      </c>
      <c r="BA140">
        <v>0</v>
      </c>
      <c r="BB140">
        <v>0</v>
      </c>
      <c r="BC140">
        <v>0</v>
      </c>
      <c r="BD140">
        <v>1845.756465892641</v>
      </c>
      <c r="BE140">
        <v>0</v>
      </c>
      <c r="BF140">
        <v>0</v>
      </c>
      <c r="BG140">
        <v>0</v>
      </c>
      <c r="BH140">
        <v>0.81069499696139224</v>
      </c>
      <c r="BI140">
        <v>4.1049940558216397E-2</v>
      </c>
      <c r="BJ140">
        <v>0.80867787062062624</v>
      </c>
      <c r="BK140">
        <v>4.0685908435288201E-2</v>
      </c>
      <c r="BL140">
        <v>0.80891224578581267</v>
      </c>
      <c r="BM140">
        <v>4.0443324963443099E-2</v>
      </c>
      <c r="BN140">
        <v>0.80682703707069181</v>
      </c>
      <c r="BO140">
        <v>4.0541712100855803E-2</v>
      </c>
      <c r="BP140">
        <v>0.80808632084791476</v>
      </c>
      <c r="BQ140">
        <v>4.1245098464062498E-2</v>
      </c>
      <c r="BR140">
        <v>0.80647886648847777</v>
      </c>
      <c r="BS140">
        <v>4.67517045251718E-2</v>
      </c>
    </row>
    <row r="141" spans="1:71" x14ac:dyDescent="0.3">
      <c r="A141" t="s">
        <v>694</v>
      </c>
      <c r="B141" t="s">
        <v>83</v>
      </c>
      <c r="C141" t="s">
        <v>182</v>
      </c>
      <c r="D141" t="s">
        <v>195</v>
      </c>
      <c r="E141" s="2">
        <v>43286</v>
      </c>
      <c r="F141" s="2">
        <v>0.67361111110949423</v>
      </c>
      <c r="G141">
        <v>97</v>
      </c>
      <c r="H141" s="2">
        <v>43320</v>
      </c>
      <c r="I141" s="2">
        <v>0.41458333333503111</v>
      </c>
      <c r="J141" t="s">
        <v>130</v>
      </c>
      <c r="K141">
        <v>239</v>
      </c>
      <c r="L141" t="s">
        <v>220</v>
      </c>
      <c r="M141" t="s">
        <v>262</v>
      </c>
      <c r="N141" t="s">
        <v>701</v>
      </c>
      <c r="O141" t="s">
        <v>702</v>
      </c>
      <c r="P141" t="s">
        <v>703</v>
      </c>
      <c r="R141">
        <v>63.685220729366598</v>
      </c>
      <c r="S141">
        <v>0</v>
      </c>
      <c r="T141" s="6">
        <f t="shared" si="12"/>
        <v>63.685220729366598</v>
      </c>
      <c r="U141" s="6">
        <v>67.839687194525908</v>
      </c>
      <c r="V141" s="6">
        <v>0</v>
      </c>
      <c r="W141" s="6">
        <f t="shared" si="13"/>
        <v>67.839687194525908</v>
      </c>
      <c r="X141" s="6">
        <v>67.194449386230204</v>
      </c>
      <c r="Y141" s="6">
        <v>0</v>
      </c>
      <c r="Z141" s="6">
        <f t="shared" si="14"/>
        <v>67.194449386230204</v>
      </c>
      <c r="AA141" s="6">
        <v>66.027659096019789</v>
      </c>
      <c r="AB141" s="6">
        <v>0</v>
      </c>
      <c r="AC141" s="6">
        <f t="shared" si="15"/>
        <v>66.027659096019789</v>
      </c>
      <c r="AD141" s="6">
        <v>65.915405989502929</v>
      </c>
      <c r="AE141" s="6">
        <v>0</v>
      </c>
      <c r="AF141" s="6">
        <f t="shared" si="16"/>
        <v>65.915405989502929</v>
      </c>
      <c r="AG141" s="6">
        <v>64.578870222121992</v>
      </c>
      <c r="AH141" s="6">
        <v>2.8188070808433871E-2</v>
      </c>
      <c r="AI141" s="6">
        <f t="shared" si="17"/>
        <v>64.607058292930432</v>
      </c>
      <c r="AJ141">
        <v>133.6115706831126</v>
      </c>
      <c r="AK141" s="3">
        <v>0</v>
      </c>
      <c r="AL141" s="6">
        <v>0</v>
      </c>
      <c r="AM141" s="6">
        <v>0</v>
      </c>
      <c r="AN141">
        <v>335.43833146186</v>
      </c>
      <c r="AO141">
        <v>0</v>
      </c>
      <c r="AP141">
        <v>0</v>
      </c>
      <c r="AQ141">
        <v>0</v>
      </c>
      <c r="AR141">
        <v>304.14954592216412</v>
      </c>
      <c r="AS141">
        <v>56.758229187619243</v>
      </c>
      <c r="AT141">
        <v>0</v>
      </c>
      <c r="AU141">
        <v>0</v>
      </c>
      <c r="AV141">
        <v>945.75085866915595</v>
      </c>
      <c r="AW141">
        <v>0</v>
      </c>
      <c r="AX141">
        <v>0</v>
      </c>
      <c r="AY141">
        <v>0</v>
      </c>
      <c r="AZ141">
        <v>1373.5656045815731</v>
      </c>
      <c r="BA141">
        <v>0</v>
      </c>
      <c r="BB141">
        <v>0</v>
      </c>
      <c r="BC141">
        <v>0</v>
      </c>
      <c r="BD141">
        <v>1845.756465892641</v>
      </c>
      <c r="BE141">
        <v>0</v>
      </c>
      <c r="BF141">
        <v>0</v>
      </c>
      <c r="BG141">
        <v>0</v>
      </c>
      <c r="BH141">
        <v>0.81069499696139224</v>
      </c>
      <c r="BI141">
        <v>4.1049940558216397E-2</v>
      </c>
      <c r="BJ141">
        <v>0.80867787062062624</v>
      </c>
      <c r="BK141">
        <v>4.0685908435288201E-2</v>
      </c>
      <c r="BL141">
        <v>0.80891224578581267</v>
      </c>
      <c r="BM141">
        <v>4.0443324963443099E-2</v>
      </c>
      <c r="BN141">
        <v>0.80682703707069181</v>
      </c>
      <c r="BO141">
        <v>4.0541712100855803E-2</v>
      </c>
      <c r="BP141">
        <v>0.80808632084791476</v>
      </c>
      <c r="BQ141">
        <v>4.1245098464062498E-2</v>
      </c>
      <c r="BR141">
        <v>0.80647886648847777</v>
      </c>
      <c r="BS141">
        <v>4.67517045251718E-2</v>
      </c>
    </row>
    <row r="142" spans="1:71" x14ac:dyDescent="0.3">
      <c r="A142" t="s">
        <v>704</v>
      </c>
      <c r="B142" t="s">
        <v>66</v>
      </c>
      <c r="C142" t="s">
        <v>309</v>
      </c>
      <c r="D142" t="s">
        <v>85</v>
      </c>
      <c r="E142" s="2">
        <v>43010</v>
      </c>
      <c r="F142" s="2">
        <v>0.61666666666496894</v>
      </c>
      <c r="G142">
        <v>85</v>
      </c>
      <c r="H142" s="2">
        <v>43046</v>
      </c>
      <c r="I142" s="2">
        <v>0.57777777777664596</v>
      </c>
      <c r="J142" t="s">
        <v>705</v>
      </c>
      <c r="K142">
        <v>370</v>
      </c>
      <c r="L142" t="s">
        <v>157</v>
      </c>
      <c r="M142" t="s">
        <v>299</v>
      </c>
      <c r="N142" t="s">
        <v>706</v>
      </c>
      <c r="O142" t="s">
        <v>707</v>
      </c>
      <c r="P142" t="s">
        <v>708</v>
      </c>
      <c r="Q142" t="s">
        <v>439</v>
      </c>
      <c r="R142">
        <v>57.637552904963442</v>
      </c>
      <c r="S142">
        <v>6.810311658330126</v>
      </c>
      <c r="T142" s="6">
        <f t="shared" si="12"/>
        <v>64.447864563293564</v>
      </c>
      <c r="U142" s="6">
        <v>47.417992854822998</v>
      </c>
      <c r="V142" s="6">
        <v>11.12374147450471</v>
      </c>
      <c r="W142" s="6">
        <f t="shared" si="13"/>
        <v>58.54173432932771</v>
      </c>
      <c r="X142" s="6">
        <v>36.692506459948319</v>
      </c>
      <c r="Y142" s="6">
        <v>14.63066916154326</v>
      </c>
      <c r="Z142" s="6">
        <f t="shared" si="14"/>
        <v>51.323175621491579</v>
      </c>
      <c r="AA142" s="6">
        <v>28.903617164682089</v>
      </c>
      <c r="AB142" s="6">
        <v>13.906987193889011</v>
      </c>
      <c r="AC142" s="6">
        <f t="shared" si="15"/>
        <v>42.810604358571098</v>
      </c>
      <c r="AD142" s="6">
        <v>24.080797157423149</v>
      </c>
      <c r="AE142" s="6">
        <v>12.942221535609461</v>
      </c>
      <c r="AF142" s="6">
        <f t="shared" si="16"/>
        <v>37.023018693032611</v>
      </c>
      <c r="AG142" s="6">
        <v>22.261045987376011</v>
      </c>
      <c r="AH142" s="6">
        <v>14.02727682596934</v>
      </c>
      <c r="AI142" s="6">
        <f t="shared" si="17"/>
        <v>36.288322813345353</v>
      </c>
      <c r="AJ142">
        <v>44.96672310513835</v>
      </c>
      <c r="AK142" s="3">
        <v>64.594905290185181</v>
      </c>
      <c r="AL142">
        <v>13.573521172098181</v>
      </c>
      <c r="AM142">
        <v>21.01329990518709</v>
      </c>
      <c r="AN142">
        <v>96.725434834483721</v>
      </c>
      <c r="AO142">
        <v>64.594905290168668</v>
      </c>
      <c r="AP142">
        <v>13.57352117210109</v>
      </c>
      <c r="AQ142">
        <v>21.01329990519697</v>
      </c>
      <c r="AR142">
        <v>92.762994040300185</v>
      </c>
      <c r="AS142">
        <v>170.71106671729669</v>
      </c>
      <c r="AT142">
        <v>226.17825472227679</v>
      </c>
      <c r="AU142">
        <v>132.4918525035261</v>
      </c>
      <c r="AV142">
        <v>51.154681120494303</v>
      </c>
      <c r="AW142">
        <v>121.88653201576859</v>
      </c>
      <c r="AX142">
        <v>126.81198602228589</v>
      </c>
      <c r="AY142">
        <v>104.04101579153971</v>
      </c>
      <c r="AZ142">
        <v>55.1336129091167</v>
      </c>
      <c r="BA142">
        <v>214.01629270869361</v>
      </c>
      <c r="BB142">
        <v>294.37738979121099</v>
      </c>
      <c r="BC142">
        <v>137.54905575899321</v>
      </c>
      <c r="BD142">
        <v>54.583172985834722</v>
      </c>
      <c r="BE142">
        <v>177.41681570758769</v>
      </c>
      <c r="BF142">
        <v>222.79725629221139</v>
      </c>
      <c r="BG142">
        <v>125.57843257621001</v>
      </c>
      <c r="BH142">
        <v>0.83010681491613225</v>
      </c>
      <c r="BI142">
        <v>8.6947749238750094E-2</v>
      </c>
      <c r="BJ142">
        <v>0.81457945186862291</v>
      </c>
      <c r="BK142">
        <v>0.1005158585767341</v>
      </c>
      <c r="BL142">
        <v>0.801588968181836</v>
      </c>
      <c r="BM142">
        <v>0.100700663509492</v>
      </c>
      <c r="BN142">
        <v>0.79461759193854919</v>
      </c>
      <c r="BO142">
        <v>0.102056997549253</v>
      </c>
      <c r="BP142">
        <v>0.79135523012160303</v>
      </c>
      <c r="BQ142">
        <v>0.1044441490492409</v>
      </c>
      <c r="BR142">
        <v>0.7802635974563733</v>
      </c>
      <c r="BS142">
        <v>0.1100740325420031</v>
      </c>
    </row>
    <row r="143" spans="1:71" x14ac:dyDescent="0.3">
      <c r="A143" t="s">
        <v>704</v>
      </c>
      <c r="B143" t="s">
        <v>76</v>
      </c>
      <c r="C143" t="s">
        <v>376</v>
      </c>
      <c r="D143" t="s">
        <v>321</v>
      </c>
      <c r="E143" s="2">
        <v>43010</v>
      </c>
      <c r="F143" s="2">
        <v>0.67569444444598048</v>
      </c>
      <c r="G143">
        <v>95</v>
      </c>
      <c r="H143" s="2">
        <v>43046</v>
      </c>
      <c r="I143" s="2">
        <v>0.59513888888977817</v>
      </c>
      <c r="J143" t="s">
        <v>137</v>
      </c>
      <c r="K143">
        <v>217</v>
      </c>
      <c r="L143" t="s">
        <v>157</v>
      </c>
      <c r="M143" t="s">
        <v>123</v>
      </c>
      <c r="N143" t="s">
        <v>709</v>
      </c>
      <c r="O143" t="s">
        <v>710</v>
      </c>
      <c r="P143" t="s">
        <v>711</v>
      </c>
      <c r="Q143" t="s">
        <v>712</v>
      </c>
      <c r="R143">
        <v>57.637552904963442</v>
      </c>
      <c r="S143">
        <v>6.810311658330126</v>
      </c>
      <c r="T143" s="6">
        <f t="shared" si="12"/>
        <v>64.447864563293564</v>
      </c>
      <c r="U143" s="6">
        <v>47.417992854822998</v>
      </c>
      <c r="V143" s="6">
        <v>11.12374147450471</v>
      </c>
      <c r="W143" s="6">
        <f t="shared" si="13"/>
        <v>58.54173432932771</v>
      </c>
      <c r="X143" s="6">
        <v>36.692506459948319</v>
      </c>
      <c r="Y143" s="6">
        <v>14.63066916154326</v>
      </c>
      <c r="Z143" s="6">
        <f t="shared" si="14"/>
        <v>51.323175621491579</v>
      </c>
      <c r="AA143" s="6">
        <v>28.903617164682089</v>
      </c>
      <c r="AB143" s="6">
        <v>13.906987193889011</v>
      </c>
      <c r="AC143" s="6">
        <f t="shared" si="15"/>
        <v>42.810604358571098</v>
      </c>
      <c r="AD143" s="6">
        <v>24.080797157423149</v>
      </c>
      <c r="AE143" s="6">
        <v>12.942221535609461</v>
      </c>
      <c r="AF143" s="6">
        <f t="shared" si="16"/>
        <v>37.023018693032611</v>
      </c>
      <c r="AG143" s="6">
        <v>22.261045987376011</v>
      </c>
      <c r="AH143" s="6">
        <v>14.02727682596934</v>
      </c>
      <c r="AI143" s="6">
        <f t="shared" si="17"/>
        <v>36.288322813345353</v>
      </c>
      <c r="AJ143">
        <v>44.96672310513835</v>
      </c>
      <c r="AK143" s="3">
        <v>64.594905290185181</v>
      </c>
      <c r="AL143">
        <v>13.573521172098181</v>
      </c>
      <c r="AM143">
        <v>21.01329990518709</v>
      </c>
      <c r="AN143">
        <v>96.725434834483721</v>
      </c>
      <c r="AO143">
        <v>64.594905290168668</v>
      </c>
      <c r="AP143">
        <v>13.57352117210109</v>
      </c>
      <c r="AQ143">
        <v>21.01329990519697</v>
      </c>
      <c r="AR143">
        <v>92.762994040300185</v>
      </c>
      <c r="AS143">
        <v>170.71106671729669</v>
      </c>
      <c r="AT143">
        <v>226.17825472227679</v>
      </c>
      <c r="AU143">
        <v>132.4918525035261</v>
      </c>
      <c r="AV143">
        <v>51.154681120494303</v>
      </c>
      <c r="AW143">
        <v>121.88653201576859</v>
      </c>
      <c r="AX143">
        <v>126.81198602228589</v>
      </c>
      <c r="AY143">
        <v>104.04101579153971</v>
      </c>
      <c r="AZ143">
        <v>55.1336129091167</v>
      </c>
      <c r="BA143">
        <v>214.01629270869361</v>
      </c>
      <c r="BB143">
        <v>294.37738979121099</v>
      </c>
      <c r="BC143">
        <v>137.54905575899321</v>
      </c>
      <c r="BD143">
        <v>54.583172985834722</v>
      </c>
      <c r="BE143">
        <v>177.41681570758769</v>
      </c>
      <c r="BF143">
        <v>222.79725629221139</v>
      </c>
      <c r="BG143">
        <v>125.57843257620981</v>
      </c>
      <c r="BH143">
        <v>0.83010681491613225</v>
      </c>
      <c r="BI143">
        <v>8.6947749238750094E-2</v>
      </c>
      <c r="BJ143">
        <v>0.81457945186862291</v>
      </c>
      <c r="BK143">
        <v>0.1005158585767341</v>
      </c>
      <c r="BL143">
        <v>0.801588968181836</v>
      </c>
      <c r="BM143">
        <v>0.100700663509492</v>
      </c>
      <c r="BN143">
        <v>0.79461759193854919</v>
      </c>
      <c r="BO143">
        <v>0.102056997549253</v>
      </c>
      <c r="BP143">
        <v>0.79135523012160303</v>
      </c>
      <c r="BQ143">
        <v>0.1044441490492409</v>
      </c>
      <c r="BR143">
        <v>0.7802635974563733</v>
      </c>
      <c r="BS143">
        <v>0.1100740325420031</v>
      </c>
    </row>
    <row r="144" spans="1:71" x14ac:dyDescent="0.3">
      <c r="A144" t="s">
        <v>704</v>
      </c>
      <c r="B144" t="s">
        <v>83</v>
      </c>
      <c r="C144" t="s">
        <v>175</v>
      </c>
      <c r="D144" t="s">
        <v>267</v>
      </c>
      <c r="E144" s="2">
        <v>43010</v>
      </c>
      <c r="F144" s="2">
        <v>0.70416666666642413</v>
      </c>
      <c r="G144">
        <v>95</v>
      </c>
      <c r="H144" s="2">
        <v>43046</v>
      </c>
      <c r="I144" s="2">
        <v>0.67708333333212067</v>
      </c>
      <c r="J144" t="s">
        <v>96</v>
      </c>
      <c r="K144">
        <v>66</v>
      </c>
      <c r="L144" t="s">
        <v>157</v>
      </c>
      <c r="M144" t="s">
        <v>123</v>
      </c>
      <c r="N144" t="s">
        <v>713</v>
      </c>
      <c r="O144" t="s">
        <v>714</v>
      </c>
      <c r="P144" t="s">
        <v>715</v>
      </c>
      <c r="R144">
        <v>57.637552904963442</v>
      </c>
      <c r="S144">
        <v>6.810311658330126</v>
      </c>
      <c r="T144" s="6">
        <f t="shared" si="12"/>
        <v>64.447864563293564</v>
      </c>
      <c r="U144" s="6">
        <v>47.417992854822998</v>
      </c>
      <c r="V144" s="6">
        <v>11.12374147450471</v>
      </c>
      <c r="W144" s="6">
        <f t="shared" si="13"/>
        <v>58.54173432932771</v>
      </c>
      <c r="X144" s="6">
        <v>36.692506459948319</v>
      </c>
      <c r="Y144" s="6">
        <v>14.63066916154326</v>
      </c>
      <c r="Z144" s="6">
        <f t="shared" si="14"/>
        <v>51.323175621491579</v>
      </c>
      <c r="AA144" s="6">
        <v>28.903617164682089</v>
      </c>
      <c r="AB144" s="6">
        <v>13.906987193889011</v>
      </c>
      <c r="AC144" s="6">
        <f t="shared" si="15"/>
        <v>42.810604358571098</v>
      </c>
      <c r="AD144" s="6">
        <v>24.080797157423149</v>
      </c>
      <c r="AE144" s="6">
        <v>12.942221535609461</v>
      </c>
      <c r="AF144" s="6">
        <f t="shared" si="16"/>
        <v>37.023018693032611</v>
      </c>
      <c r="AG144" s="6">
        <v>22.261045987376011</v>
      </c>
      <c r="AH144" s="6">
        <v>14.02727682596934</v>
      </c>
      <c r="AI144" s="6">
        <f t="shared" si="17"/>
        <v>36.288322813345353</v>
      </c>
      <c r="AJ144">
        <v>44.96672310513835</v>
      </c>
      <c r="AK144" s="3">
        <v>64.594905290185181</v>
      </c>
      <c r="AL144">
        <v>13.573521172098181</v>
      </c>
      <c r="AM144">
        <v>21.01329990518709</v>
      </c>
      <c r="AN144">
        <v>96.725434834483721</v>
      </c>
      <c r="AO144">
        <v>64.594905290168668</v>
      </c>
      <c r="AP144">
        <v>13.57352117210109</v>
      </c>
      <c r="AQ144">
        <v>21.01329990519697</v>
      </c>
      <c r="AR144">
        <v>92.762994040300185</v>
      </c>
      <c r="AS144">
        <v>170.71106671729669</v>
      </c>
      <c r="AT144">
        <v>226.17825472227679</v>
      </c>
      <c r="AU144">
        <v>132.4918525035261</v>
      </c>
      <c r="AV144">
        <v>51.154681120494303</v>
      </c>
      <c r="AW144">
        <v>121.88653201576859</v>
      </c>
      <c r="AX144">
        <v>126.81198602228589</v>
      </c>
      <c r="AY144">
        <v>104.04101579153971</v>
      </c>
      <c r="AZ144">
        <v>55.1336129091167</v>
      </c>
      <c r="BA144">
        <v>214.01629270869361</v>
      </c>
      <c r="BB144">
        <v>294.37738979121099</v>
      </c>
      <c r="BC144">
        <v>137.54905575899321</v>
      </c>
      <c r="BD144">
        <v>54.583172985834722</v>
      </c>
      <c r="BE144">
        <v>177.41681570758769</v>
      </c>
      <c r="BF144">
        <v>222.79725629221139</v>
      </c>
      <c r="BG144">
        <v>125.57843257620981</v>
      </c>
      <c r="BH144">
        <v>0.83010681491613225</v>
      </c>
      <c r="BI144">
        <v>8.6947749238750094E-2</v>
      </c>
      <c r="BJ144">
        <v>0.81457945186862291</v>
      </c>
      <c r="BK144">
        <v>0.1005158585767341</v>
      </c>
      <c r="BL144">
        <v>0.801588968181836</v>
      </c>
      <c r="BM144">
        <v>0.100700663509492</v>
      </c>
      <c r="BN144">
        <v>0.79461759193854919</v>
      </c>
      <c r="BO144">
        <v>0.102056997549253</v>
      </c>
      <c r="BP144">
        <v>0.79135523012160303</v>
      </c>
      <c r="BQ144">
        <v>0.1044441490492409</v>
      </c>
      <c r="BR144">
        <v>0.7802635974563733</v>
      </c>
      <c r="BS144">
        <v>0.1100740325420031</v>
      </c>
    </row>
    <row r="145" spans="1:71" x14ac:dyDescent="0.3">
      <c r="A145" t="s">
        <v>716</v>
      </c>
      <c r="B145" t="s">
        <v>66</v>
      </c>
      <c r="C145" t="s">
        <v>266</v>
      </c>
      <c r="D145" t="s">
        <v>325</v>
      </c>
      <c r="E145" s="2">
        <v>43322</v>
      </c>
      <c r="F145" s="2">
        <v>0.38541666666787933</v>
      </c>
      <c r="G145">
        <v>97</v>
      </c>
      <c r="H145" s="2">
        <v>43353</v>
      </c>
      <c r="I145" s="2">
        <v>0.35277777777810121</v>
      </c>
      <c r="J145" t="s">
        <v>206</v>
      </c>
      <c r="K145">
        <v>170</v>
      </c>
      <c r="L145" t="s">
        <v>177</v>
      </c>
      <c r="M145" t="s">
        <v>178</v>
      </c>
      <c r="N145" t="s">
        <v>717</v>
      </c>
      <c r="O145" t="s">
        <v>718</v>
      </c>
      <c r="P145" t="s">
        <v>719</v>
      </c>
      <c r="Q145" t="s">
        <v>406</v>
      </c>
      <c r="R145">
        <v>61.571043511744307</v>
      </c>
      <c r="S145">
        <v>0</v>
      </c>
      <c r="T145" s="6">
        <f t="shared" si="12"/>
        <v>61.571043511744307</v>
      </c>
      <c r="U145" s="6">
        <v>51.794705213578041</v>
      </c>
      <c r="V145" s="6">
        <v>0</v>
      </c>
      <c r="W145" s="6">
        <f t="shared" si="13"/>
        <v>51.794705213578041</v>
      </c>
      <c r="X145" s="6">
        <v>53.011404133998568</v>
      </c>
      <c r="Y145" s="6">
        <v>0.13364219529579471</v>
      </c>
      <c r="Z145" s="6">
        <f t="shared" si="14"/>
        <v>53.14504632929436</v>
      </c>
      <c r="AA145" s="6">
        <v>52.696023365535837</v>
      </c>
      <c r="AB145" s="6">
        <v>0.1179510222421928</v>
      </c>
      <c r="AC145" s="6">
        <f t="shared" si="15"/>
        <v>52.813974387778032</v>
      </c>
      <c r="AD145" s="6">
        <v>48.607516705936888</v>
      </c>
      <c r="AE145" s="6">
        <v>0.2085827957819924</v>
      </c>
      <c r="AF145" s="6">
        <f t="shared" si="16"/>
        <v>48.816099501718881</v>
      </c>
      <c r="AG145" s="6">
        <v>44.323882531988048</v>
      </c>
      <c r="AH145" s="6">
        <v>0.52984611915901025</v>
      </c>
      <c r="AI145" s="6">
        <f t="shared" si="17"/>
        <v>44.853728651147058</v>
      </c>
      <c r="AJ145">
        <v>64.389662906056799</v>
      </c>
      <c r="AK145" s="3">
        <v>141.8955729690199</v>
      </c>
      <c r="AL145">
        <v>0</v>
      </c>
      <c r="AM145">
        <v>0</v>
      </c>
      <c r="AN145">
        <v>85.584425826363514</v>
      </c>
      <c r="AO145">
        <v>142.83226834354889</v>
      </c>
      <c r="AP145">
        <v>1.62240397986949</v>
      </c>
      <c r="AQ145">
        <v>1.1358805672449199</v>
      </c>
      <c r="AR145">
        <v>120.0812850443389</v>
      </c>
      <c r="AS145">
        <v>83.067115272921569</v>
      </c>
      <c r="AT145">
        <v>39.218971797417687</v>
      </c>
      <c r="AU145">
        <v>47.213595498726058</v>
      </c>
      <c r="AV145">
        <v>126.1618598403504</v>
      </c>
      <c r="AW145">
        <v>142.12237509279689</v>
      </c>
      <c r="AX145">
        <v>129.75190942831509</v>
      </c>
      <c r="AY145">
        <v>91.295905619080315</v>
      </c>
      <c r="AZ145">
        <v>101.75902324178659</v>
      </c>
      <c r="BA145">
        <v>109.98887121599419</v>
      </c>
      <c r="BB145">
        <v>102.6670741310422</v>
      </c>
      <c r="BC145">
        <v>93.343147352995743</v>
      </c>
      <c r="BD145">
        <v>61.03201974371467</v>
      </c>
      <c r="BE145">
        <v>116.04844292865511</v>
      </c>
      <c r="BF145">
        <v>87.203777202156729</v>
      </c>
      <c r="BG145">
        <v>75.144288886123462</v>
      </c>
      <c r="BH145">
        <v>0.85712729405269594</v>
      </c>
      <c r="BI145">
        <v>3.2368526875785897E-2</v>
      </c>
      <c r="BJ145">
        <v>0.85379523233632382</v>
      </c>
      <c r="BK145">
        <v>4.3838753466117097E-2</v>
      </c>
      <c r="BL145">
        <v>0.84637417061589904</v>
      </c>
      <c r="BM145">
        <v>5.4095949210063103E-2</v>
      </c>
      <c r="BN145">
        <v>0.84172588287830907</v>
      </c>
      <c r="BO145">
        <v>5.4234687553194799E-2</v>
      </c>
      <c r="BP145">
        <v>0.8414378544244191</v>
      </c>
      <c r="BQ145">
        <v>5.4595462798934999E-2</v>
      </c>
      <c r="BR145">
        <v>0.84103533547963338</v>
      </c>
      <c r="BS145">
        <v>5.7649732663001003E-2</v>
      </c>
    </row>
    <row r="146" spans="1:71" x14ac:dyDescent="0.3">
      <c r="A146" t="s">
        <v>716</v>
      </c>
      <c r="B146" t="s">
        <v>76</v>
      </c>
      <c r="C146" t="s">
        <v>303</v>
      </c>
      <c r="D146" t="s">
        <v>68</v>
      </c>
      <c r="E146" s="2">
        <v>43322</v>
      </c>
      <c r="F146" s="2">
        <v>0.53333333333284827</v>
      </c>
      <c r="G146">
        <v>95</v>
      </c>
      <c r="H146" s="2">
        <v>43353</v>
      </c>
      <c r="I146" s="2">
        <v>0.37638888888977817</v>
      </c>
      <c r="J146" t="s">
        <v>115</v>
      </c>
      <c r="K146">
        <v>152</v>
      </c>
      <c r="L146" t="s">
        <v>157</v>
      </c>
      <c r="M146" t="s">
        <v>184</v>
      </c>
      <c r="N146" t="s">
        <v>720</v>
      </c>
      <c r="O146" t="s">
        <v>721</v>
      </c>
      <c r="P146" t="s">
        <v>722</v>
      </c>
      <c r="Q146" t="s">
        <v>199</v>
      </c>
      <c r="R146">
        <v>61.571043511744307</v>
      </c>
      <c r="S146">
        <v>0</v>
      </c>
      <c r="T146" s="6">
        <f t="shared" si="12"/>
        <v>61.571043511744307</v>
      </c>
      <c r="U146" s="6">
        <v>51.794705213578041</v>
      </c>
      <c r="V146" s="6">
        <v>0</v>
      </c>
      <c r="W146" s="6">
        <f t="shared" si="13"/>
        <v>51.794705213578041</v>
      </c>
      <c r="X146" s="6">
        <v>53.011404133998568</v>
      </c>
      <c r="Y146" s="6">
        <v>0.13364219529579471</v>
      </c>
      <c r="Z146" s="6">
        <f t="shared" si="14"/>
        <v>53.14504632929436</v>
      </c>
      <c r="AA146" s="6">
        <v>52.696023365535837</v>
      </c>
      <c r="AB146" s="6">
        <v>0.1179510222421928</v>
      </c>
      <c r="AC146" s="6">
        <f t="shared" si="15"/>
        <v>52.813974387778032</v>
      </c>
      <c r="AD146" s="6">
        <v>48.607516705936888</v>
      </c>
      <c r="AE146" s="6">
        <v>0.2085827957819924</v>
      </c>
      <c r="AF146" s="6">
        <f t="shared" si="16"/>
        <v>48.816099501718881</v>
      </c>
      <c r="AG146" s="6">
        <v>44.323882531988048</v>
      </c>
      <c r="AH146" s="6">
        <v>0.52984611915901025</v>
      </c>
      <c r="AI146" s="6">
        <f t="shared" si="17"/>
        <v>44.853728651147058</v>
      </c>
      <c r="AJ146">
        <v>64.389662906056799</v>
      </c>
      <c r="AK146" s="3">
        <v>141.8955729690199</v>
      </c>
      <c r="AL146">
        <v>0</v>
      </c>
      <c r="AM146">
        <v>0</v>
      </c>
      <c r="AN146">
        <v>85.584425826363514</v>
      </c>
      <c r="AO146">
        <v>142.83226834354889</v>
      </c>
      <c r="AP146">
        <v>1.62240397986949</v>
      </c>
      <c r="AQ146">
        <v>1.1358805672449199</v>
      </c>
      <c r="AR146">
        <v>120.0812850443389</v>
      </c>
      <c r="AS146">
        <v>83.067115272921569</v>
      </c>
      <c r="AT146">
        <v>39.218971797417687</v>
      </c>
      <c r="AU146">
        <v>47.213595498726058</v>
      </c>
      <c r="AV146">
        <v>126.1618598403504</v>
      </c>
      <c r="AW146">
        <v>142.12237509279689</v>
      </c>
      <c r="AX146">
        <v>129.75190942831509</v>
      </c>
      <c r="AY146">
        <v>91.295905619080315</v>
      </c>
      <c r="AZ146">
        <v>101.75902324178659</v>
      </c>
      <c r="BA146">
        <v>109.98887121599419</v>
      </c>
      <c r="BB146">
        <v>102.6670741310422</v>
      </c>
      <c r="BC146">
        <v>93.343147352995743</v>
      </c>
      <c r="BD146">
        <v>61.03201974371467</v>
      </c>
      <c r="BE146">
        <v>116.04844292865511</v>
      </c>
      <c r="BF146">
        <v>87.203777202156729</v>
      </c>
      <c r="BG146">
        <v>75.144288886123462</v>
      </c>
      <c r="BH146">
        <v>0.85712729405269594</v>
      </c>
      <c r="BI146">
        <v>3.2368526875785897E-2</v>
      </c>
      <c r="BJ146">
        <v>0.85379523233632382</v>
      </c>
      <c r="BK146">
        <v>4.3838753466117097E-2</v>
      </c>
      <c r="BL146">
        <v>0.84637417061589904</v>
      </c>
      <c r="BM146">
        <v>5.4095949210063103E-2</v>
      </c>
      <c r="BN146">
        <v>0.84172588287830907</v>
      </c>
      <c r="BO146">
        <v>5.4234687553194799E-2</v>
      </c>
      <c r="BP146">
        <v>0.8414378544244191</v>
      </c>
      <c r="BQ146">
        <v>5.4595462798934999E-2</v>
      </c>
      <c r="BR146">
        <v>0.84103533547963338</v>
      </c>
      <c r="BS146">
        <v>5.7649732663001003E-2</v>
      </c>
    </row>
    <row r="147" spans="1:71" x14ac:dyDescent="0.3">
      <c r="A147" t="s">
        <v>716</v>
      </c>
      <c r="B147" t="s">
        <v>83</v>
      </c>
      <c r="C147" t="s">
        <v>77</v>
      </c>
      <c r="D147" t="s">
        <v>335</v>
      </c>
      <c r="E147" s="2">
        <v>43322</v>
      </c>
      <c r="F147" s="2">
        <v>0.45694444444598048</v>
      </c>
      <c r="G147">
        <v>96</v>
      </c>
      <c r="H147" s="2">
        <v>43353</v>
      </c>
      <c r="I147" s="2">
        <v>0.36527777777882869</v>
      </c>
      <c r="J147" t="s">
        <v>130</v>
      </c>
      <c r="K147">
        <v>172</v>
      </c>
      <c r="L147" t="s">
        <v>177</v>
      </c>
      <c r="M147" t="s">
        <v>88</v>
      </c>
      <c r="N147" t="s">
        <v>723</v>
      </c>
      <c r="O147" t="s">
        <v>724</v>
      </c>
      <c r="P147" t="s">
        <v>725</v>
      </c>
      <c r="R147">
        <v>61.571043511744307</v>
      </c>
      <c r="S147">
        <v>0</v>
      </c>
      <c r="T147" s="6">
        <f t="shared" si="12"/>
        <v>61.571043511744307</v>
      </c>
      <c r="U147" s="6">
        <v>51.794705213578041</v>
      </c>
      <c r="V147" s="6">
        <v>0</v>
      </c>
      <c r="W147" s="6">
        <f t="shared" si="13"/>
        <v>51.794705213578041</v>
      </c>
      <c r="X147" s="6">
        <v>53.011404133998568</v>
      </c>
      <c r="Y147" s="6">
        <v>0.13364219529579471</v>
      </c>
      <c r="Z147" s="6">
        <f t="shared" si="14"/>
        <v>53.14504632929436</v>
      </c>
      <c r="AA147" s="6">
        <v>52.696023365535837</v>
      </c>
      <c r="AB147" s="6">
        <v>0.1179510222421928</v>
      </c>
      <c r="AC147" s="6">
        <f t="shared" si="15"/>
        <v>52.813974387778032</v>
      </c>
      <c r="AD147" s="6">
        <v>48.607516705936888</v>
      </c>
      <c r="AE147" s="6">
        <v>0.2085827957819924</v>
      </c>
      <c r="AF147" s="6">
        <f t="shared" si="16"/>
        <v>48.816099501718881</v>
      </c>
      <c r="AG147" s="6">
        <v>44.323882531988048</v>
      </c>
      <c r="AH147" s="6">
        <v>0.52984611915901025</v>
      </c>
      <c r="AI147" s="6">
        <f t="shared" si="17"/>
        <v>44.853728651147058</v>
      </c>
      <c r="AJ147">
        <v>64.389662906056799</v>
      </c>
      <c r="AK147" s="3">
        <v>141.8955729690199</v>
      </c>
      <c r="AL147">
        <v>0</v>
      </c>
      <c r="AM147">
        <v>0</v>
      </c>
      <c r="AN147">
        <v>85.584425826363514</v>
      </c>
      <c r="AO147">
        <v>142.83226834354889</v>
      </c>
      <c r="AP147">
        <v>1.62240397986949</v>
      </c>
      <c r="AQ147">
        <v>1.1358805672449199</v>
      </c>
      <c r="AR147">
        <v>120.0812850443389</v>
      </c>
      <c r="AS147">
        <v>83.067115272921569</v>
      </c>
      <c r="AT147">
        <v>39.218971797417687</v>
      </c>
      <c r="AU147">
        <v>47.213595498726058</v>
      </c>
      <c r="AV147">
        <v>126.1618598403504</v>
      </c>
      <c r="AW147">
        <v>142.12237509279689</v>
      </c>
      <c r="AX147">
        <v>129.75190942831509</v>
      </c>
      <c r="AY147">
        <v>91.295905619080315</v>
      </c>
      <c r="AZ147">
        <v>101.75902324178659</v>
      </c>
      <c r="BA147">
        <v>109.98887121599419</v>
      </c>
      <c r="BB147">
        <v>102.6670741310422</v>
      </c>
      <c r="BC147">
        <v>93.343147352995743</v>
      </c>
      <c r="BD147">
        <v>61.03201974371467</v>
      </c>
      <c r="BE147">
        <v>116.04844292865511</v>
      </c>
      <c r="BF147">
        <v>87.203777202156729</v>
      </c>
      <c r="BG147">
        <v>75.144288886123462</v>
      </c>
      <c r="BH147">
        <v>0.85712729405269594</v>
      </c>
      <c r="BI147">
        <v>3.2368526875785897E-2</v>
      </c>
      <c r="BJ147">
        <v>0.85379523233632382</v>
      </c>
      <c r="BK147">
        <v>4.3838753466117097E-2</v>
      </c>
      <c r="BL147">
        <v>0.84637417061589904</v>
      </c>
      <c r="BM147">
        <v>5.4095949210063103E-2</v>
      </c>
      <c r="BN147">
        <v>0.84172588287830907</v>
      </c>
      <c r="BO147">
        <v>5.4234687553194799E-2</v>
      </c>
      <c r="BP147">
        <v>0.8414378544244191</v>
      </c>
      <c r="BQ147">
        <v>5.4595462798934999E-2</v>
      </c>
      <c r="BR147">
        <v>0.84103533547963338</v>
      </c>
      <c r="BS147">
        <v>5.7649732663001003E-2</v>
      </c>
    </row>
    <row r="148" spans="1:71" x14ac:dyDescent="0.3">
      <c r="A148" t="s">
        <v>726</v>
      </c>
      <c r="B148" t="s">
        <v>66</v>
      </c>
      <c r="C148" t="s">
        <v>142</v>
      </c>
      <c r="D148" t="s">
        <v>68</v>
      </c>
      <c r="E148" s="2">
        <v>43194</v>
      </c>
      <c r="F148" s="2">
        <v>0.40208333333430352</v>
      </c>
      <c r="G148">
        <v>99</v>
      </c>
      <c r="H148" s="2">
        <v>43222</v>
      </c>
      <c r="I148" s="2">
        <v>0.65486111111022183</v>
      </c>
      <c r="J148" t="s">
        <v>663</v>
      </c>
      <c r="K148">
        <v>82</v>
      </c>
      <c r="L148" t="s">
        <v>220</v>
      </c>
      <c r="M148" t="s">
        <v>166</v>
      </c>
      <c r="N148" t="s">
        <v>384</v>
      </c>
      <c r="O148" t="s">
        <v>727</v>
      </c>
      <c r="P148" t="s">
        <v>728</v>
      </c>
      <c r="R148">
        <v>55.790688726433252</v>
      </c>
      <c r="S148">
        <v>0.53866871873797617</v>
      </c>
      <c r="T148" s="6">
        <f t="shared" si="12"/>
        <v>56.329357445171226</v>
      </c>
      <c r="U148" s="6">
        <v>52.8504141627416</v>
      </c>
      <c r="V148" s="6">
        <v>0.45476693194737688</v>
      </c>
      <c r="W148" s="6">
        <f t="shared" si="13"/>
        <v>53.305181094688976</v>
      </c>
      <c r="X148" s="6">
        <v>42.704436130411551</v>
      </c>
      <c r="Y148" s="6">
        <v>2.61001247104935</v>
      </c>
      <c r="Z148" s="6">
        <f t="shared" si="14"/>
        <v>45.314448601460903</v>
      </c>
      <c r="AA148" s="6">
        <v>34.765515304689693</v>
      </c>
      <c r="AB148" s="6">
        <v>3.9820275203594488</v>
      </c>
      <c r="AC148" s="6">
        <f t="shared" si="15"/>
        <v>38.747542825049145</v>
      </c>
      <c r="AD148" s="6">
        <v>32.730923694779108</v>
      </c>
      <c r="AE148" s="6">
        <v>4.0430954587581098</v>
      </c>
      <c r="AF148" s="6">
        <f t="shared" si="16"/>
        <v>36.774019153537218</v>
      </c>
      <c r="AG148" s="6">
        <v>31.17761433764478</v>
      </c>
      <c r="AH148" s="6">
        <v>3.3899737932200531</v>
      </c>
      <c r="AI148" s="6">
        <f t="shared" si="17"/>
        <v>34.567588130864834</v>
      </c>
      <c r="AJ148">
        <v>23.597462453376231</v>
      </c>
      <c r="AK148" s="3">
        <v>78.891071921751504</v>
      </c>
      <c r="AL148">
        <v>26.013015741497821</v>
      </c>
      <c r="AM148">
        <v>32.97333285989442</v>
      </c>
      <c r="AN148">
        <v>52.864758888731181</v>
      </c>
      <c r="AO148">
        <v>61.460234849152329</v>
      </c>
      <c r="AP148">
        <v>10.51400428978703</v>
      </c>
      <c r="AQ148">
        <v>17.107003114440658</v>
      </c>
      <c r="AR148">
        <v>68.268881705288138</v>
      </c>
      <c r="AS148">
        <v>112.2295698767971</v>
      </c>
      <c r="AT148">
        <v>122.5006996035673</v>
      </c>
      <c r="AU148">
        <v>109.1518926233484</v>
      </c>
      <c r="AV148">
        <v>39.670429321921311</v>
      </c>
      <c r="AW148">
        <v>136.35002060503271</v>
      </c>
      <c r="AX148">
        <v>111.262712067596</v>
      </c>
      <c r="AY148">
        <v>81.600803266390727</v>
      </c>
      <c r="AZ148">
        <v>45.09621463435213</v>
      </c>
      <c r="BA148">
        <v>109.93259645369599</v>
      </c>
      <c r="BB148">
        <v>83.917667751798717</v>
      </c>
      <c r="BC148">
        <v>76.335564208332997</v>
      </c>
      <c r="BD148">
        <v>41.161330269219157</v>
      </c>
      <c r="BE148">
        <v>144.59065330247549</v>
      </c>
      <c r="BF148">
        <v>161.6225119147951</v>
      </c>
      <c r="BG148">
        <v>111.7793634811856</v>
      </c>
      <c r="BH148">
        <v>0.8247941230919198</v>
      </c>
      <c r="BI148">
        <v>5.5960977286119901E-2</v>
      </c>
      <c r="BJ148">
        <v>0.83023465354235881</v>
      </c>
      <c r="BK148">
        <v>5.9208827125756897E-2</v>
      </c>
      <c r="BL148">
        <v>0.82458327695753086</v>
      </c>
      <c r="BM148">
        <v>6.7019141892576198E-2</v>
      </c>
      <c r="BN148">
        <v>0.80880645924528716</v>
      </c>
      <c r="BO148">
        <v>8.6665368269688903E-2</v>
      </c>
      <c r="BP148">
        <v>0.79934120660176211</v>
      </c>
      <c r="BQ148">
        <v>0.10540355847561481</v>
      </c>
      <c r="BR148">
        <v>0.79383722983941407</v>
      </c>
      <c r="BS148">
        <v>0.1103513623724755</v>
      </c>
    </row>
    <row r="149" spans="1:71" x14ac:dyDescent="0.3">
      <c r="A149" t="s">
        <v>726</v>
      </c>
      <c r="B149" t="s">
        <v>76</v>
      </c>
      <c r="C149" t="s">
        <v>330</v>
      </c>
      <c r="D149" t="s">
        <v>325</v>
      </c>
      <c r="E149" s="2">
        <v>43194</v>
      </c>
      <c r="F149" s="2">
        <v>0.4375</v>
      </c>
      <c r="G149">
        <v>99</v>
      </c>
      <c r="H149" s="2">
        <v>43222</v>
      </c>
      <c r="I149" s="2">
        <v>0.67361111110949423</v>
      </c>
      <c r="J149" t="s">
        <v>206</v>
      </c>
      <c r="K149">
        <v>164</v>
      </c>
      <c r="L149" t="s">
        <v>220</v>
      </c>
      <c r="M149" t="s">
        <v>178</v>
      </c>
      <c r="N149" t="s">
        <v>729</v>
      </c>
      <c r="O149" t="s">
        <v>730</v>
      </c>
      <c r="P149" t="s">
        <v>731</v>
      </c>
      <c r="R149">
        <v>55.790688726433252</v>
      </c>
      <c r="S149">
        <v>0.53866871873797617</v>
      </c>
      <c r="T149" s="6">
        <f t="shared" si="12"/>
        <v>56.329357445171226</v>
      </c>
      <c r="U149" s="6">
        <v>52.8504141627416</v>
      </c>
      <c r="V149" s="6">
        <v>0.45476693194737688</v>
      </c>
      <c r="W149" s="6">
        <f t="shared" si="13"/>
        <v>53.305181094688976</v>
      </c>
      <c r="X149" s="6">
        <v>42.704436130411551</v>
      </c>
      <c r="Y149" s="6">
        <v>2.61001247104935</v>
      </c>
      <c r="Z149" s="6">
        <f t="shared" si="14"/>
        <v>45.314448601460903</v>
      </c>
      <c r="AA149" s="6">
        <v>34.765515304689693</v>
      </c>
      <c r="AB149" s="6">
        <v>3.9820275203594488</v>
      </c>
      <c r="AC149" s="6">
        <f t="shared" si="15"/>
        <v>38.747542825049145</v>
      </c>
      <c r="AD149" s="6">
        <v>32.730923694779108</v>
      </c>
      <c r="AE149" s="6">
        <v>4.0430954587581098</v>
      </c>
      <c r="AF149" s="6">
        <f t="shared" si="16"/>
        <v>36.774019153537218</v>
      </c>
      <c r="AG149" s="6">
        <v>31.17761433764478</v>
      </c>
      <c r="AH149" s="6">
        <v>3.3899737932200531</v>
      </c>
      <c r="AI149" s="6">
        <f t="shared" si="17"/>
        <v>34.567588130864834</v>
      </c>
      <c r="AJ149">
        <v>23.597462453376231</v>
      </c>
      <c r="AK149" s="3">
        <v>78.891071921751504</v>
      </c>
      <c r="AL149">
        <v>26.013015741497821</v>
      </c>
      <c r="AM149">
        <v>32.97333285989442</v>
      </c>
      <c r="AN149">
        <v>52.864758888731181</v>
      </c>
      <c r="AO149">
        <v>61.460234849152329</v>
      </c>
      <c r="AP149">
        <v>10.51400428978703</v>
      </c>
      <c r="AQ149">
        <v>17.107003114440658</v>
      </c>
      <c r="AR149">
        <v>68.268881705288138</v>
      </c>
      <c r="AS149">
        <v>112.2295698767971</v>
      </c>
      <c r="AT149">
        <v>122.5006996035673</v>
      </c>
      <c r="AU149">
        <v>109.1518926233484</v>
      </c>
      <c r="AV149">
        <v>39.670429321921311</v>
      </c>
      <c r="AW149">
        <v>136.35002060503271</v>
      </c>
      <c r="AX149">
        <v>111.262712067596</v>
      </c>
      <c r="AY149">
        <v>81.600803266390727</v>
      </c>
      <c r="AZ149">
        <v>45.09621463435213</v>
      </c>
      <c r="BA149">
        <v>109.93259645369599</v>
      </c>
      <c r="BB149">
        <v>83.917667751798717</v>
      </c>
      <c r="BC149">
        <v>76.335564208332997</v>
      </c>
      <c r="BD149">
        <v>41.161330269219157</v>
      </c>
      <c r="BE149">
        <v>144.59065330247549</v>
      </c>
      <c r="BF149">
        <v>161.6225119147951</v>
      </c>
      <c r="BG149">
        <v>111.7793634811856</v>
      </c>
      <c r="BH149">
        <v>0.8247941230919198</v>
      </c>
      <c r="BI149">
        <v>5.5960977286119901E-2</v>
      </c>
      <c r="BJ149">
        <v>0.83023465354235881</v>
      </c>
      <c r="BK149">
        <v>5.9208827125756897E-2</v>
      </c>
      <c r="BL149">
        <v>0.82458327695753086</v>
      </c>
      <c r="BM149">
        <v>6.7019141892576198E-2</v>
      </c>
      <c r="BN149">
        <v>0.80880645924528716</v>
      </c>
      <c r="BO149">
        <v>8.6665368269688903E-2</v>
      </c>
      <c r="BP149">
        <v>0.79934120660176211</v>
      </c>
      <c r="BQ149">
        <v>0.10540355847561481</v>
      </c>
      <c r="BR149">
        <v>0.79383722983941407</v>
      </c>
      <c r="BS149">
        <v>0.1103513623724755</v>
      </c>
    </row>
    <row r="150" spans="1:71" x14ac:dyDescent="0.3">
      <c r="A150" t="s">
        <v>726</v>
      </c>
      <c r="B150" t="s">
        <v>83</v>
      </c>
      <c r="C150" t="s">
        <v>77</v>
      </c>
      <c r="D150" t="s">
        <v>121</v>
      </c>
      <c r="E150" s="2">
        <v>43194</v>
      </c>
      <c r="F150" s="2">
        <v>0.51597222222335404</v>
      </c>
      <c r="G150">
        <v>99</v>
      </c>
      <c r="H150" s="2">
        <v>43222</v>
      </c>
      <c r="I150" s="2">
        <v>0.68055555555474712</v>
      </c>
      <c r="J150" t="s">
        <v>130</v>
      </c>
      <c r="K150">
        <v>110</v>
      </c>
      <c r="L150" t="s">
        <v>157</v>
      </c>
      <c r="M150" t="s">
        <v>146</v>
      </c>
      <c r="N150" t="s">
        <v>732</v>
      </c>
      <c r="O150" t="s">
        <v>733</v>
      </c>
      <c r="P150" t="s">
        <v>157</v>
      </c>
      <c r="R150">
        <v>55.790688726433252</v>
      </c>
      <c r="S150">
        <v>0.53866871873797617</v>
      </c>
      <c r="T150" s="6">
        <f t="shared" si="12"/>
        <v>56.329357445171226</v>
      </c>
      <c r="U150" s="6">
        <v>52.8504141627416</v>
      </c>
      <c r="V150" s="6">
        <v>0.45476693194737688</v>
      </c>
      <c r="W150" s="6">
        <f t="shared" si="13"/>
        <v>53.305181094688976</v>
      </c>
      <c r="X150" s="6">
        <v>42.704436130411551</v>
      </c>
      <c r="Y150" s="6">
        <v>2.61001247104935</v>
      </c>
      <c r="Z150" s="6">
        <f t="shared" si="14"/>
        <v>45.314448601460903</v>
      </c>
      <c r="AA150" s="6">
        <v>34.765515304689693</v>
      </c>
      <c r="AB150" s="6">
        <v>3.9820275203594488</v>
      </c>
      <c r="AC150" s="6">
        <f t="shared" si="15"/>
        <v>38.747542825049145</v>
      </c>
      <c r="AD150" s="6">
        <v>32.730923694779108</v>
      </c>
      <c r="AE150" s="6">
        <v>4.0430954587581098</v>
      </c>
      <c r="AF150" s="6">
        <f t="shared" si="16"/>
        <v>36.774019153537218</v>
      </c>
      <c r="AG150" s="6">
        <v>31.17761433764478</v>
      </c>
      <c r="AH150" s="6">
        <v>3.3899737932200531</v>
      </c>
      <c r="AI150" s="6">
        <f t="shared" si="17"/>
        <v>34.567588130864834</v>
      </c>
      <c r="AJ150">
        <v>23.597462453376231</v>
      </c>
      <c r="AK150" s="3">
        <v>78.891071921751504</v>
      </c>
      <c r="AL150">
        <v>26.013015741497821</v>
      </c>
      <c r="AM150">
        <v>32.97333285989442</v>
      </c>
      <c r="AN150">
        <v>52.864758888731181</v>
      </c>
      <c r="AO150">
        <v>61.460234849152329</v>
      </c>
      <c r="AP150">
        <v>10.51400428978703</v>
      </c>
      <c r="AQ150">
        <v>17.107003114440658</v>
      </c>
      <c r="AR150">
        <v>68.268881705288138</v>
      </c>
      <c r="AS150">
        <v>112.2295698767971</v>
      </c>
      <c r="AT150">
        <v>122.5006996035673</v>
      </c>
      <c r="AU150">
        <v>109.1518926233484</v>
      </c>
      <c r="AV150">
        <v>39.670429321921311</v>
      </c>
      <c r="AW150">
        <v>136.35002060503271</v>
      </c>
      <c r="AX150">
        <v>111.262712067596</v>
      </c>
      <c r="AY150">
        <v>81.600803266390727</v>
      </c>
      <c r="AZ150">
        <v>45.09621463435213</v>
      </c>
      <c r="BA150">
        <v>109.93259645369599</v>
      </c>
      <c r="BB150">
        <v>83.917667751798717</v>
      </c>
      <c r="BC150">
        <v>76.335564208332997</v>
      </c>
      <c r="BD150">
        <v>41.161330269219157</v>
      </c>
      <c r="BE150">
        <v>144.59065330247549</v>
      </c>
      <c r="BF150">
        <v>161.6225119147951</v>
      </c>
      <c r="BG150">
        <v>111.7793634811856</v>
      </c>
      <c r="BH150">
        <v>0.8247941230919198</v>
      </c>
      <c r="BI150">
        <v>5.5960977286119901E-2</v>
      </c>
      <c r="BJ150">
        <v>0.83023465354235881</v>
      </c>
      <c r="BK150">
        <v>5.9208827125756897E-2</v>
      </c>
      <c r="BL150">
        <v>0.82458327695753086</v>
      </c>
      <c r="BM150">
        <v>6.7019141892576198E-2</v>
      </c>
      <c r="BN150">
        <v>0.80880645924528716</v>
      </c>
      <c r="BO150">
        <v>8.6665368269688903E-2</v>
      </c>
      <c r="BP150">
        <v>0.79934120660176211</v>
      </c>
      <c r="BQ150">
        <v>0.10540355847561481</v>
      </c>
      <c r="BR150">
        <v>0.79383722983941407</v>
      </c>
      <c r="BS150">
        <v>0.1103513623724755</v>
      </c>
    </row>
    <row r="151" spans="1:71" x14ac:dyDescent="0.3">
      <c r="A151" t="s">
        <v>734</v>
      </c>
      <c r="B151" t="s">
        <v>66</v>
      </c>
      <c r="C151" t="s">
        <v>266</v>
      </c>
      <c r="D151" t="s">
        <v>129</v>
      </c>
      <c r="E151" s="2">
        <v>43258</v>
      </c>
      <c r="F151" s="2">
        <v>0.46250000000145519</v>
      </c>
      <c r="G151">
        <v>98</v>
      </c>
      <c r="H151" s="2">
        <v>43285</v>
      </c>
      <c r="I151" s="2">
        <v>0.44027777777955629</v>
      </c>
      <c r="J151" t="s">
        <v>206</v>
      </c>
      <c r="K151">
        <v>117</v>
      </c>
      <c r="L151" t="s">
        <v>157</v>
      </c>
      <c r="M151" t="s">
        <v>299</v>
      </c>
      <c r="N151" t="s">
        <v>735</v>
      </c>
      <c r="O151" t="s">
        <v>736</v>
      </c>
      <c r="P151" t="s">
        <v>737</v>
      </c>
      <c r="Q151" t="s">
        <v>738</v>
      </c>
      <c r="R151">
        <v>65.602154674874953</v>
      </c>
      <c r="S151">
        <v>0</v>
      </c>
      <c r="T151" s="6">
        <f t="shared" si="12"/>
        <v>65.602154674874953</v>
      </c>
      <c r="U151" s="6">
        <v>63.186099382916517</v>
      </c>
      <c r="V151" s="6">
        <v>0</v>
      </c>
      <c r="W151" s="6">
        <f t="shared" si="13"/>
        <v>63.186099382916517</v>
      </c>
      <c r="X151" s="6">
        <v>55.86034912718204</v>
      </c>
      <c r="Y151" s="6">
        <v>0</v>
      </c>
      <c r="Z151" s="6">
        <f t="shared" si="14"/>
        <v>55.86034912718204</v>
      </c>
      <c r="AA151" s="6">
        <v>50.702010558238797</v>
      </c>
      <c r="AB151" s="6">
        <v>0</v>
      </c>
      <c r="AC151" s="6">
        <f t="shared" si="15"/>
        <v>50.702010558238797</v>
      </c>
      <c r="AD151" s="6">
        <v>44.483504597079502</v>
      </c>
      <c r="AE151" s="6">
        <v>0</v>
      </c>
      <c r="AF151" s="6">
        <f t="shared" si="16"/>
        <v>44.483504597079502</v>
      </c>
      <c r="AG151" s="6">
        <v>43.79121808240798</v>
      </c>
      <c r="AH151" s="6">
        <v>0</v>
      </c>
      <c r="AI151" s="6">
        <f t="shared" si="17"/>
        <v>43.79121808240798</v>
      </c>
      <c r="AJ151">
        <v>45.745251445465293</v>
      </c>
      <c r="AK151" s="3">
        <v>71.946270400778488</v>
      </c>
      <c r="AL151">
        <v>26.306459044002409</v>
      </c>
      <c r="AM151">
        <v>36.564034379352293</v>
      </c>
      <c r="AN151">
        <v>62.690323459751973</v>
      </c>
      <c r="AO151">
        <v>60.777869300641314</v>
      </c>
      <c r="AP151">
        <v>3.669412602479011</v>
      </c>
      <c r="AQ151">
        <v>6.0374156657714444</v>
      </c>
      <c r="AR151">
        <v>42.080799084959928</v>
      </c>
      <c r="AS151">
        <v>122.5129459434386</v>
      </c>
      <c r="AT151">
        <v>104.2227156037421</v>
      </c>
      <c r="AU151">
        <v>85.070777460415798</v>
      </c>
      <c r="AV151">
        <v>48.467416056121969</v>
      </c>
      <c r="AW151">
        <v>112.5581614657188</v>
      </c>
      <c r="AX151">
        <v>77.732364934851901</v>
      </c>
      <c r="AY151">
        <v>69.059732250980673</v>
      </c>
      <c r="AZ151">
        <v>29.915752521267649</v>
      </c>
      <c r="BA151">
        <v>109.0146425380695</v>
      </c>
      <c r="BB151">
        <v>81.027297660179286</v>
      </c>
      <c r="BC151">
        <v>74.326985599098208</v>
      </c>
      <c r="BD151">
        <v>32.076606658642909</v>
      </c>
      <c r="BE151">
        <v>96.409353900903042</v>
      </c>
      <c r="BF151">
        <v>63.940720506111973</v>
      </c>
      <c r="BG151">
        <v>66.322112864520548</v>
      </c>
      <c r="BH151">
        <v>0.80897402784244177</v>
      </c>
      <c r="BI151">
        <v>6.7443104668472503E-2</v>
      </c>
      <c r="BJ151">
        <v>0.81220174263514133</v>
      </c>
      <c r="BK151">
        <v>6.3204559915365804E-2</v>
      </c>
      <c r="BL151">
        <v>0.81522615550682143</v>
      </c>
      <c r="BM151">
        <v>6.1012198931436598E-2</v>
      </c>
      <c r="BN151">
        <v>0.81733562472406018</v>
      </c>
      <c r="BO151">
        <v>6.0462242962328501E-2</v>
      </c>
      <c r="BP151">
        <v>0.81925949375420615</v>
      </c>
      <c r="BQ151">
        <v>6.1443020105339897E-2</v>
      </c>
      <c r="BR151">
        <v>0.82365408742626323</v>
      </c>
      <c r="BS151">
        <v>6.1284424348112099E-2</v>
      </c>
    </row>
    <row r="152" spans="1:71" x14ac:dyDescent="0.3">
      <c r="A152" t="s">
        <v>734</v>
      </c>
      <c r="B152" t="s">
        <v>76</v>
      </c>
      <c r="C152" t="s">
        <v>218</v>
      </c>
      <c r="D152" t="s">
        <v>143</v>
      </c>
      <c r="E152" s="2">
        <v>43258</v>
      </c>
      <c r="F152" s="2">
        <v>0.50555555555547471</v>
      </c>
      <c r="G152">
        <v>97</v>
      </c>
      <c r="H152" s="2">
        <v>43285</v>
      </c>
      <c r="I152" s="2">
        <v>0.45972222222189879</v>
      </c>
      <c r="J152" t="s">
        <v>130</v>
      </c>
      <c r="K152">
        <v>225</v>
      </c>
      <c r="L152" t="s">
        <v>157</v>
      </c>
      <c r="M152" t="s">
        <v>739</v>
      </c>
      <c r="N152" t="s">
        <v>740</v>
      </c>
      <c r="O152" t="s">
        <v>741</v>
      </c>
      <c r="P152" t="s">
        <v>737</v>
      </c>
      <c r="R152">
        <v>65.602154674874953</v>
      </c>
      <c r="S152">
        <v>0</v>
      </c>
      <c r="T152" s="6">
        <f t="shared" si="12"/>
        <v>65.602154674874953</v>
      </c>
      <c r="U152" s="6">
        <v>63.186099382916517</v>
      </c>
      <c r="V152" s="6">
        <v>0</v>
      </c>
      <c r="W152" s="6">
        <f t="shared" si="13"/>
        <v>63.186099382916517</v>
      </c>
      <c r="X152" s="6">
        <v>55.86034912718204</v>
      </c>
      <c r="Y152" s="6">
        <v>0</v>
      </c>
      <c r="Z152" s="6">
        <f t="shared" si="14"/>
        <v>55.86034912718204</v>
      </c>
      <c r="AA152" s="6">
        <v>50.702010558238797</v>
      </c>
      <c r="AB152" s="6">
        <v>0</v>
      </c>
      <c r="AC152" s="6">
        <f t="shared" si="15"/>
        <v>50.702010558238797</v>
      </c>
      <c r="AD152" s="6">
        <v>44.483504597079502</v>
      </c>
      <c r="AE152" s="6">
        <v>0</v>
      </c>
      <c r="AF152" s="6">
        <f t="shared" si="16"/>
        <v>44.483504597079502</v>
      </c>
      <c r="AG152" s="6">
        <v>43.79121808240798</v>
      </c>
      <c r="AH152" s="6">
        <v>0</v>
      </c>
      <c r="AI152" s="6">
        <f t="shared" si="17"/>
        <v>43.79121808240798</v>
      </c>
      <c r="AJ152">
        <v>45.745251445465293</v>
      </c>
      <c r="AK152" s="3">
        <v>71.946270400778488</v>
      </c>
      <c r="AL152">
        <v>26.306459044002409</v>
      </c>
      <c r="AM152">
        <v>36.564034379352293</v>
      </c>
      <c r="AN152">
        <v>62.690323459751973</v>
      </c>
      <c r="AO152">
        <v>60.777869300641314</v>
      </c>
      <c r="AP152">
        <v>3.669412602479011</v>
      </c>
      <c r="AQ152">
        <v>6.0374156657714444</v>
      </c>
      <c r="AR152">
        <v>42.080799084959928</v>
      </c>
      <c r="AS152">
        <v>122.5129459434386</v>
      </c>
      <c r="AT152">
        <v>104.2227156037421</v>
      </c>
      <c r="AU152">
        <v>85.070777460415798</v>
      </c>
      <c r="AV152">
        <v>48.467416056121969</v>
      </c>
      <c r="AW152">
        <v>112.5581614657188</v>
      </c>
      <c r="AX152">
        <v>77.732364934851901</v>
      </c>
      <c r="AY152">
        <v>69.059732250980673</v>
      </c>
      <c r="AZ152">
        <v>29.915752521267649</v>
      </c>
      <c r="BA152">
        <v>109.0146425380695</v>
      </c>
      <c r="BB152">
        <v>81.027297660179286</v>
      </c>
      <c r="BC152">
        <v>74.326985599098208</v>
      </c>
      <c r="BD152">
        <v>32.076606658642909</v>
      </c>
      <c r="BE152">
        <v>96.409353900903042</v>
      </c>
      <c r="BF152">
        <v>63.940720506111973</v>
      </c>
      <c r="BG152">
        <v>66.322112864520548</v>
      </c>
      <c r="BH152">
        <v>0.80897402784244177</v>
      </c>
      <c r="BI152">
        <v>6.7443104668472503E-2</v>
      </c>
      <c r="BJ152">
        <v>0.81220174263514133</v>
      </c>
      <c r="BK152">
        <v>6.3204559915365804E-2</v>
      </c>
      <c r="BL152">
        <v>0.81522615550682143</v>
      </c>
      <c r="BM152">
        <v>6.1012198931436598E-2</v>
      </c>
      <c r="BN152">
        <v>0.81733562472406018</v>
      </c>
      <c r="BO152">
        <v>6.0462242962328501E-2</v>
      </c>
      <c r="BP152">
        <v>0.81925949375420615</v>
      </c>
      <c r="BQ152">
        <v>6.1443020105339897E-2</v>
      </c>
      <c r="BR152">
        <v>0.82365408742626323</v>
      </c>
      <c r="BS152">
        <v>6.1284424348112099E-2</v>
      </c>
    </row>
    <row r="153" spans="1:71" x14ac:dyDescent="0.3">
      <c r="A153" t="s">
        <v>734</v>
      </c>
      <c r="B153" t="s">
        <v>83</v>
      </c>
      <c r="C153" t="s">
        <v>303</v>
      </c>
      <c r="D153" t="s">
        <v>267</v>
      </c>
      <c r="E153" s="2">
        <v>43258</v>
      </c>
      <c r="F153" s="2">
        <v>0.64444444444598048</v>
      </c>
      <c r="G153">
        <v>95</v>
      </c>
      <c r="H153" s="2">
        <v>43285</v>
      </c>
      <c r="I153" s="2">
        <v>0.47430555555547471</v>
      </c>
      <c r="J153" t="s">
        <v>144</v>
      </c>
      <c r="K153">
        <v>401</v>
      </c>
      <c r="L153" t="s">
        <v>70</v>
      </c>
      <c r="M153" t="s">
        <v>188</v>
      </c>
      <c r="N153" t="s">
        <v>742</v>
      </c>
      <c r="O153" t="s">
        <v>743</v>
      </c>
      <c r="P153" t="s">
        <v>744</v>
      </c>
      <c r="Q153" t="s">
        <v>745</v>
      </c>
      <c r="R153">
        <v>65.602154674874953</v>
      </c>
      <c r="S153">
        <v>0</v>
      </c>
      <c r="T153" s="6">
        <f t="shared" si="12"/>
        <v>65.602154674874953</v>
      </c>
      <c r="U153" s="6">
        <v>63.186099382916517</v>
      </c>
      <c r="V153" s="6">
        <v>0</v>
      </c>
      <c r="W153" s="6">
        <f t="shared" si="13"/>
        <v>63.186099382916517</v>
      </c>
      <c r="X153" s="6">
        <v>55.86034912718204</v>
      </c>
      <c r="Y153" s="6">
        <v>0</v>
      </c>
      <c r="Z153" s="6">
        <f t="shared" si="14"/>
        <v>55.86034912718204</v>
      </c>
      <c r="AA153" s="6">
        <v>50.702010558238797</v>
      </c>
      <c r="AB153" s="6">
        <v>0</v>
      </c>
      <c r="AC153" s="6">
        <f t="shared" si="15"/>
        <v>50.702010558238797</v>
      </c>
      <c r="AD153" s="6">
        <v>44.483504597079502</v>
      </c>
      <c r="AE153" s="6">
        <v>0</v>
      </c>
      <c r="AF153" s="6">
        <f t="shared" si="16"/>
        <v>44.483504597079502</v>
      </c>
      <c r="AG153" s="6">
        <v>43.79121808240798</v>
      </c>
      <c r="AH153" s="6">
        <v>0</v>
      </c>
      <c r="AI153" s="6">
        <f t="shared" si="17"/>
        <v>43.79121808240798</v>
      </c>
      <c r="AJ153">
        <v>45.745251445465293</v>
      </c>
      <c r="AK153" s="3">
        <v>71.946270400778488</v>
      </c>
      <c r="AL153">
        <v>26.306459044002409</v>
      </c>
      <c r="AM153">
        <v>36.564034379352293</v>
      </c>
      <c r="AN153">
        <v>62.690323459751973</v>
      </c>
      <c r="AO153">
        <v>60.777869300641314</v>
      </c>
      <c r="AP153">
        <v>3.669412602479011</v>
      </c>
      <c r="AQ153">
        <v>6.0374156657714444</v>
      </c>
      <c r="AR153">
        <v>42.080799084959928</v>
      </c>
      <c r="AS153">
        <v>122.5129459434386</v>
      </c>
      <c r="AT153">
        <v>104.2227156037421</v>
      </c>
      <c r="AU153">
        <v>85.070777460415798</v>
      </c>
      <c r="AV153">
        <v>48.467416056121969</v>
      </c>
      <c r="AW153">
        <v>112.5581614657188</v>
      </c>
      <c r="AX153">
        <v>77.732364934851901</v>
      </c>
      <c r="AY153">
        <v>69.059732250980673</v>
      </c>
      <c r="AZ153">
        <v>29.915752521267649</v>
      </c>
      <c r="BA153">
        <v>109.0146425380695</v>
      </c>
      <c r="BB153">
        <v>81.027297660179286</v>
      </c>
      <c r="BC153">
        <v>74.326985599098208</v>
      </c>
      <c r="BD153">
        <v>32.076606658642909</v>
      </c>
      <c r="BE153">
        <v>96.409353900903042</v>
      </c>
      <c r="BF153">
        <v>63.940720506111973</v>
      </c>
      <c r="BG153">
        <v>66.322112864520548</v>
      </c>
      <c r="BH153">
        <v>0.80897402784244177</v>
      </c>
      <c r="BI153">
        <v>6.7443104668472503E-2</v>
      </c>
      <c r="BJ153">
        <v>0.81220174263514133</v>
      </c>
      <c r="BK153">
        <v>6.3204559915365804E-2</v>
      </c>
      <c r="BL153">
        <v>0.81522615550682143</v>
      </c>
      <c r="BM153">
        <v>6.1012198931436598E-2</v>
      </c>
      <c r="BN153">
        <v>0.81733562472406018</v>
      </c>
      <c r="BO153">
        <v>6.0462242962328501E-2</v>
      </c>
      <c r="BP153">
        <v>0.81925949375420615</v>
      </c>
      <c r="BQ153">
        <v>6.1443020105339897E-2</v>
      </c>
      <c r="BR153">
        <v>0.82365408742626323</v>
      </c>
      <c r="BS153">
        <v>6.1284424348112099E-2</v>
      </c>
    </row>
    <row r="154" spans="1:71" s="3" customFormat="1" x14ac:dyDescent="0.3">
      <c r="A154" s="3" t="s">
        <v>746</v>
      </c>
      <c r="B154" s="3" t="s">
        <v>66</v>
      </c>
      <c r="C154" s="3" t="s">
        <v>266</v>
      </c>
      <c r="D154" s="3" t="s">
        <v>256</v>
      </c>
      <c r="E154" s="4">
        <v>43286</v>
      </c>
      <c r="F154" s="4">
        <v>0.37361111111022183</v>
      </c>
      <c r="G154" s="3">
        <v>97</v>
      </c>
      <c r="H154" s="4">
        <v>43320</v>
      </c>
      <c r="I154" s="4">
        <v>0.34375</v>
      </c>
      <c r="J154" s="3" t="s">
        <v>130</v>
      </c>
      <c r="K154" s="3">
        <v>152</v>
      </c>
      <c r="L154" s="3" t="s">
        <v>177</v>
      </c>
      <c r="M154" s="3" t="s">
        <v>299</v>
      </c>
      <c r="N154" s="3" t="s">
        <v>747</v>
      </c>
      <c r="O154" s="3" t="s">
        <v>748</v>
      </c>
      <c r="P154" s="3" t="s">
        <v>749</v>
      </c>
      <c r="Q154" s="3" t="s">
        <v>750</v>
      </c>
      <c r="R154" s="3">
        <v>61.367127496159753</v>
      </c>
      <c r="S154" s="3">
        <v>10.33026113671275</v>
      </c>
      <c r="T154" s="3">
        <f t="shared" si="12"/>
        <v>71.697388632872503</v>
      </c>
      <c r="U154" s="3">
        <v>61.237785016286637</v>
      </c>
      <c r="V154" s="3">
        <v>6.0423452768729637</v>
      </c>
      <c r="W154" s="3">
        <f t="shared" si="13"/>
        <v>67.280130293159601</v>
      </c>
      <c r="X154" s="3">
        <v>62.011570983533602</v>
      </c>
      <c r="Y154" s="3">
        <v>5.7943925233644862</v>
      </c>
      <c r="Z154" s="3">
        <f t="shared" si="14"/>
        <v>67.805963506898081</v>
      </c>
      <c r="AA154" s="3">
        <v>61.081445674779367</v>
      </c>
      <c r="AB154" s="3">
        <v>7.1047158675734909</v>
      </c>
      <c r="AC154" s="3">
        <f t="shared" si="15"/>
        <v>68.186161542352863</v>
      </c>
      <c r="AD154" s="3">
        <v>58.25261451780959</v>
      </c>
      <c r="AE154" s="3">
        <v>8.4629336626403742</v>
      </c>
      <c r="AF154" s="3">
        <f t="shared" si="16"/>
        <v>66.715548180449957</v>
      </c>
      <c r="AG154" s="3">
        <v>57.135607555680863</v>
      </c>
      <c r="AH154" s="3">
        <v>9.3290104313504365</v>
      </c>
      <c r="AI154" s="3">
        <f t="shared" si="17"/>
        <v>66.464617987031303</v>
      </c>
      <c r="AJ154" s="3">
        <v>150.3633529025746</v>
      </c>
      <c r="AK154" s="3">
        <v>0</v>
      </c>
      <c r="AN154" s="3">
        <v>110.9000197894313</v>
      </c>
      <c r="AO154" s="3">
        <v>71.946270398986414</v>
      </c>
      <c r="AP154" s="3">
        <v>26.306459045545399</v>
      </c>
      <c r="AQ154" s="3">
        <v>36.564034382407698</v>
      </c>
      <c r="AR154" s="3">
        <v>153.3432372397194</v>
      </c>
      <c r="AS154" s="3">
        <v>71.862943435358531</v>
      </c>
      <c r="AT154" s="3">
        <v>9.7056206702680665</v>
      </c>
      <c r="AU154" s="3">
        <v>13.50573773672153</v>
      </c>
      <c r="AV154" s="3">
        <v>139.50230728778871</v>
      </c>
      <c r="AW154" s="3">
        <v>71.546014306749854</v>
      </c>
      <c r="AX154" s="3">
        <v>14.232507011162481</v>
      </c>
      <c r="AY154" s="3">
        <v>19.89280206461445</v>
      </c>
      <c r="AZ154" s="3">
        <v>139.22502847493209</v>
      </c>
      <c r="BA154" s="3">
        <v>62.800114886709537</v>
      </c>
      <c r="BB154" s="3">
        <v>9.6041828838596661</v>
      </c>
      <c r="BC154" s="3">
        <v>15.293256869331319</v>
      </c>
      <c r="BD154" s="3">
        <v>379.63726454859631</v>
      </c>
      <c r="BE154" s="3">
        <v>70.864246172227453</v>
      </c>
      <c r="BF154" s="3">
        <v>12.87697283170527</v>
      </c>
      <c r="BG154" s="3">
        <v>18.17132549524235</v>
      </c>
      <c r="BH154" s="3">
        <v>0.79349793649764622</v>
      </c>
      <c r="BI154" s="3">
        <v>6.7305208262204194E-2</v>
      </c>
      <c r="BJ154" s="3">
        <v>0.79507583778485902</v>
      </c>
      <c r="BK154" s="3">
        <v>6.3633418879821393E-2</v>
      </c>
      <c r="BL154" s="3">
        <v>0.79495304638516184</v>
      </c>
      <c r="BM154" s="3">
        <v>6.9791791878134099E-2</v>
      </c>
      <c r="BN154" s="3">
        <v>0.78805819600384441</v>
      </c>
      <c r="BO154" s="3">
        <v>9.1838497617814999E-2</v>
      </c>
      <c r="BP154" s="3">
        <v>0.77730422283245115</v>
      </c>
      <c r="BQ154" s="3">
        <v>0.1083634267727112</v>
      </c>
      <c r="BR154" s="3">
        <v>0.77383091299537521</v>
      </c>
      <c r="BS154" s="3">
        <v>0.1118787900542652</v>
      </c>
    </row>
    <row r="155" spans="1:71" x14ac:dyDescent="0.3">
      <c r="A155" t="s">
        <v>751</v>
      </c>
      <c r="B155" t="s">
        <v>66</v>
      </c>
      <c r="C155" t="s">
        <v>84</v>
      </c>
      <c r="D155" t="s">
        <v>78</v>
      </c>
      <c r="E155" s="2">
        <v>43262</v>
      </c>
      <c r="F155" s="2">
        <v>0.48263888889050582</v>
      </c>
      <c r="G155">
        <v>96</v>
      </c>
      <c r="H155" s="2">
        <v>43290</v>
      </c>
      <c r="I155" s="2">
        <v>0.32916666666642408</v>
      </c>
      <c r="J155" t="s">
        <v>115</v>
      </c>
      <c r="K155">
        <v>131</v>
      </c>
      <c r="L155" t="s">
        <v>70</v>
      </c>
      <c r="M155" t="s">
        <v>752</v>
      </c>
      <c r="N155" t="s">
        <v>753</v>
      </c>
      <c r="O155" t="s">
        <v>754</v>
      </c>
      <c r="P155" t="s">
        <v>755</v>
      </c>
      <c r="R155">
        <v>63.660990712074309</v>
      </c>
      <c r="S155">
        <v>2.4380804953560369</v>
      </c>
      <c r="T155" s="6">
        <f t="shared" si="12"/>
        <v>66.099071207430342</v>
      </c>
      <c r="U155" s="6">
        <v>74.995938261575958</v>
      </c>
      <c r="V155" s="6">
        <v>2.3395613322502031</v>
      </c>
      <c r="W155" s="6">
        <f t="shared" si="13"/>
        <v>77.335499593826157</v>
      </c>
      <c r="X155" s="6">
        <v>71.772682665715053</v>
      </c>
      <c r="Y155" s="6">
        <v>2.274957623338389</v>
      </c>
      <c r="Z155" s="6">
        <f t="shared" si="14"/>
        <v>74.047640289053447</v>
      </c>
      <c r="AA155" s="6">
        <v>62.555461948890759</v>
      </c>
      <c r="AB155" s="6">
        <v>2.2746419545071608</v>
      </c>
      <c r="AC155" s="6">
        <f t="shared" si="15"/>
        <v>64.830103903397927</v>
      </c>
      <c r="AD155" s="6">
        <v>58.207051182928723</v>
      </c>
      <c r="AE155" s="6">
        <v>2.1107159424771922</v>
      </c>
      <c r="AF155" s="6">
        <f t="shared" si="16"/>
        <v>60.317767125405915</v>
      </c>
      <c r="AG155" s="6">
        <v>54.467833291064323</v>
      </c>
      <c r="AH155" s="6">
        <v>1.986642996026714</v>
      </c>
      <c r="AI155" s="6">
        <f t="shared" si="17"/>
        <v>56.45447628709104</v>
      </c>
      <c r="AJ155">
        <v>34.409610352245309</v>
      </c>
      <c r="AK155" s="3">
        <v>115.8191065336289</v>
      </c>
      <c r="AL155">
        <v>30.11050983479889</v>
      </c>
      <c r="AM155">
        <v>25.99787784242324</v>
      </c>
      <c r="AN155">
        <v>127.7591852282287</v>
      </c>
      <c r="AO155">
        <v>104.0567535141107</v>
      </c>
      <c r="AP155">
        <v>32.769378899257369</v>
      </c>
      <c r="AQ155">
        <v>31.491832862932501</v>
      </c>
      <c r="AR155">
        <v>222.7664885531081</v>
      </c>
      <c r="AS155">
        <v>115.5134262049866</v>
      </c>
      <c r="AT155">
        <v>22.84760930614506</v>
      </c>
      <c r="AU155">
        <v>19.779180703722179</v>
      </c>
      <c r="AV155">
        <v>71.504833719324054</v>
      </c>
      <c r="AW155">
        <v>137.00340367875461</v>
      </c>
      <c r="AX155">
        <v>75.540300647416004</v>
      </c>
      <c r="AY155">
        <v>55.137535724691027</v>
      </c>
      <c r="AZ155">
        <v>66.15088899720719</v>
      </c>
      <c r="BA155">
        <v>133.90637049621091</v>
      </c>
      <c r="BB155">
        <v>112.3242744176552</v>
      </c>
      <c r="BC155">
        <v>83.882696544921743</v>
      </c>
      <c r="BD155">
        <v>73.314672751131084</v>
      </c>
      <c r="BE155">
        <v>127.9236729540861</v>
      </c>
      <c r="BF155">
        <v>106.36177291278349</v>
      </c>
      <c r="BG155">
        <v>83.144714701053431</v>
      </c>
      <c r="BH155">
        <v>0.69931428989899957</v>
      </c>
      <c r="BI155">
        <v>7.4385983458009203E-2</v>
      </c>
      <c r="BJ155">
        <v>0.71790085348290955</v>
      </c>
      <c r="BK155">
        <v>7.5500048457097194E-2</v>
      </c>
      <c r="BL155">
        <v>0.71251875723421665</v>
      </c>
      <c r="BM155">
        <v>7.8858370675570999E-2</v>
      </c>
      <c r="BN155">
        <v>0.71082591053305566</v>
      </c>
      <c r="BO155">
        <v>8.6766153616527605E-2</v>
      </c>
      <c r="BP155">
        <v>0.70622498922381005</v>
      </c>
      <c r="BQ155">
        <v>8.9417147916830197E-2</v>
      </c>
      <c r="BR155">
        <v>0.70446110832208486</v>
      </c>
      <c r="BS155">
        <v>9.3206832665920794E-2</v>
      </c>
    </row>
    <row r="156" spans="1:71" x14ac:dyDescent="0.3">
      <c r="A156" t="s">
        <v>751</v>
      </c>
      <c r="B156" t="s">
        <v>76</v>
      </c>
      <c r="C156" t="s">
        <v>376</v>
      </c>
      <c r="D156" t="s">
        <v>453</v>
      </c>
      <c r="E156" s="2">
        <v>43262</v>
      </c>
      <c r="F156" s="2">
        <v>0.56041666666715173</v>
      </c>
      <c r="G156">
        <v>95</v>
      </c>
      <c r="H156" s="2">
        <v>43290</v>
      </c>
      <c r="I156" s="2">
        <v>0.34027777777737361</v>
      </c>
      <c r="J156" t="s">
        <v>242</v>
      </c>
      <c r="K156">
        <v>214</v>
      </c>
      <c r="L156" t="s">
        <v>70</v>
      </c>
      <c r="M156" t="s">
        <v>262</v>
      </c>
      <c r="N156" t="s">
        <v>756</v>
      </c>
      <c r="O156" t="s">
        <v>757</v>
      </c>
      <c r="P156" t="s">
        <v>758</v>
      </c>
      <c r="Q156" t="s">
        <v>759</v>
      </c>
      <c r="R156">
        <v>63.660990712074309</v>
      </c>
      <c r="S156">
        <v>2.4380804953560369</v>
      </c>
      <c r="T156" s="6">
        <f t="shared" si="12"/>
        <v>66.099071207430342</v>
      </c>
      <c r="U156" s="6">
        <v>74.995938261575958</v>
      </c>
      <c r="V156" s="6">
        <v>2.3395613322502031</v>
      </c>
      <c r="W156" s="6">
        <f t="shared" si="13"/>
        <v>77.335499593826157</v>
      </c>
      <c r="X156" s="6">
        <v>71.772682665715053</v>
      </c>
      <c r="Y156" s="6">
        <v>2.274957623338389</v>
      </c>
      <c r="Z156" s="6">
        <f t="shared" si="14"/>
        <v>74.047640289053447</v>
      </c>
      <c r="AA156" s="6">
        <v>62.555461948890759</v>
      </c>
      <c r="AB156" s="6">
        <v>2.2746419545071608</v>
      </c>
      <c r="AC156" s="6">
        <f t="shared" si="15"/>
        <v>64.830103903397927</v>
      </c>
      <c r="AD156" s="6">
        <v>58.207051182928723</v>
      </c>
      <c r="AE156" s="6">
        <v>2.1107159424771922</v>
      </c>
      <c r="AF156" s="6">
        <f t="shared" si="16"/>
        <v>60.317767125405915</v>
      </c>
      <c r="AG156" s="6">
        <v>54.467833291064323</v>
      </c>
      <c r="AH156" s="6">
        <v>1.986642996026714</v>
      </c>
      <c r="AI156" s="6">
        <f t="shared" si="17"/>
        <v>56.45447628709104</v>
      </c>
      <c r="AJ156">
        <v>34.409610352245309</v>
      </c>
      <c r="AK156" s="3">
        <v>115.8191065336289</v>
      </c>
      <c r="AL156">
        <v>30.11050983479889</v>
      </c>
      <c r="AM156">
        <v>25.99787784242324</v>
      </c>
      <c r="AN156">
        <v>127.7591852282287</v>
      </c>
      <c r="AO156">
        <v>104.0567535141107</v>
      </c>
      <c r="AP156">
        <v>32.769378899257369</v>
      </c>
      <c r="AQ156">
        <v>31.491832862932501</v>
      </c>
      <c r="AR156">
        <v>222.7664885531081</v>
      </c>
      <c r="AS156">
        <v>115.5134262049866</v>
      </c>
      <c r="AT156">
        <v>22.84760930614506</v>
      </c>
      <c r="AU156">
        <v>19.779180703722179</v>
      </c>
      <c r="AV156">
        <v>71.504833719324054</v>
      </c>
      <c r="AW156">
        <v>137.00340367875461</v>
      </c>
      <c r="AX156">
        <v>75.540300647416004</v>
      </c>
      <c r="AY156">
        <v>55.137535724691027</v>
      </c>
      <c r="AZ156">
        <v>66.15088899720719</v>
      </c>
      <c r="BA156">
        <v>133.90637049621091</v>
      </c>
      <c r="BB156">
        <v>112.3242744176552</v>
      </c>
      <c r="BC156">
        <v>83.882696544921743</v>
      </c>
      <c r="BD156">
        <v>73.314672751131084</v>
      </c>
      <c r="BE156">
        <v>127.9236729540861</v>
      </c>
      <c r="BF156">
        <v>106.36177291278349</v>
      </c>
      <c r="BG156">
        <v>83.144714701053431</v>
      </c>
      <c r="BH156">
        <v>0.69931428989899957</v>
      </c>
      <c r="BI156">
        <v>7.4385983458009203E-2</v>
      </c>
      <c r="BJ156">
        <v>0.71790085348290955</v>
      </c>
      <c r="BK156">
        <v>7.5500048457097194E-2</v>
      </c>
      <c r="BL156">
        <v>0.71251875723421665</v>
      </c>
      <c r="BM156">
        <v>7.8858370675570999E-2</v>
      </c>
      <c r="BN156">
        <v>0.71082591053305566</v>
      </c>
      <c r="BO156">
        <v>8.6766153616527605E-2</v>
      </c>
      <c r="BP156">
        <v>0.70622498922381005</v>
      </c>
      <c r="BQ156">
        <v>8.9417147916830197E-2</v>
      </c>
      <c r="BR156">
        <v>0.70446110832208486</v>
      </c>
      <c r="BS156">
        <v>9.3206832665920794E-2</v>
      </c>
    </row>
    <row r="157" spans="1:71" x14ac:dyDescent="0.3">
      <c r="A157" t="s">
        <v>751</v>
      </c>
      <c r="B157" t="s">
        <v>83</v>
      </c>
      <c r="C157" t="s">
        <v>363</v>
      </c>
      <c r="D157" t="s">
        <v>68</v>
      </c>
      <c r="E157" s="2">
        <v>43262</v>
      </c>
      <c r="F157" s="2">
        <v>0.6375000000007276</v>
      </c>
      <c r="G157">
        <v>96</v>
      </c>
      <c r="H157" s="2">
        <v>43290</v>
      </c>
      <c r="I157" s="2">
        <v>0.31597222222262639</v>
      </c>
      <c r="J157" t="s">
        <v>130</v>
      </c>
      <c r="K157">
        <v>208</v>
      </c>
      <c r="L157" t="s">
        <v>633</v>
      </c>
      <c r="M157" t="s">
        <v>760</v>
      </c>
      <c r="N157" t="s">
        <v>761</v>
      </c>
      <c r="O157" t="s">
        <v>762</v>
      </c>
      <c r="P157" t="s">
        <v>763</v>
      </c>
      <c r="R157">
        <v>63.660990712074309</v>
      </c>
      <c r="S157">
        <v>2.4380804953560369</v>
      </c>
      <c r="T157" s="6">
        <f t="shared" si="12"/>
        <v>66.099071207430342</v>
      </c>
      <c r="U157" s="6">
        <v>74.995938261575958</v>
      </c>
      <c r="V157" s="6">
        <v>2.3395613322502031</v>
      </c>
      <c r="W157" s="6">
        <f t="shared" si="13"/>
        <v>77.335499593826157</v>
      </c>
      <c r="X157" s="6">
        <v>71.772682665715053</v>
      </c>
      <c r="Y157" s="6">
        <v>2.274957623338389</v>
      </c>
      <c r="Z157" s="6">
        <f t="shared" si="14"/>
        <v>74.047640289053447</v>
      </c>
      <c r="AA157" s="6">
        <v>62.555461948890759</v>
      </c>
      <c r="AB157" s="6">
        <v>2.2746419545071608</v>
      </c>
      <c r="AC157" s="6">
        <f t="shared" si="15"/>
        <v>64.830103903397927</v>
      </c>
      <c r="AD157" s="6">
        <v>58.207051182928723</v>
      </c>
      <c r="AE157" s="6">
        <v>2.1107159424771922</v>
      </c>
      <c r="AF157" s="6">
        <f t="shared" si="16"/>
        <v>60.317767125405915</v>
      </c>
      <c r="AG157" s="6">
        <v>54.467833291064323</v>
      </c>
      <c r="AH157" s="6">
        <v>1.986642996026714</v>
      </c>
      <c r="AI157" s="6">
        <f t="shared" si="17"/>
        <v>56.45447628709104</v>
      </c>
      <c r="AJ157">
        <v>34.409610352245309</v>
      </c>
      <c r="AK157" s="3">
        <v>115.8191065336289</v>
      </c>
      <c r="AL157">
        <v>30.11050983479889</v>
      </c>
      <c r="AM157">
        <v>25.99787784242324</v>
      </c>
      <c r="AN157">
        <v>127.7591852282287</v>
      </c>
      <c r="AO157">
        <v>104.0567535141107</v>
      </c>
      <c r="AP157">
        <v>32.769378899257369</v>
      </c>
      <c r="AQ157">
        <v>31.491832862932501</v>
      </c>
      <c r="AR157">
        <v>222.7664885531081</v>
      </c>
      <c r="AS157">
        <v>115.5134262049866</v>
      </c>
      <c r="AT157">
        <v>22.84760930614506</v>
      </c>
      <c r="AU157">
        <v>19.779180703722179</v>
      </c>
      <c r="AV157">
        <v>71.504833719324054</v>
      </c>
      <c r="AW157">
        <v>137.00340367875461</v>
      </c>
      <c r="AX157">
        <v>75.540300647416004</v>
      </c>
      <c r="AY157">
        <v>55.137535724691027</v>
      </c>
      <c r="AZ157">
        <v>66.15088899720719</v>
      </c>
      <c r="BA157">
        <v>133.90637049621091</v>
      </c>
      <c r="BB157">
        <v>112.3242744176552</v>
      </c>
      <c r="BC157">
        <v>83.882696544921743</v>
      </c>
      <c r="BD157">
        <v>73.314672751131084</v>
      </c>
      <c r="BE157">
        <v>127.9236729540861</v>
      </c>
      <c r="BF157">
        <v>106.36177291278349</v>
      </c>
      <c r="BG157">
        <v>83.144714701053431</v>
      </c>
      <c r="BH157">
        <v>0.69931428989899957</v>
      </c>
      <c r="BI157">
        <v>7.4385983458009203E-2</v>
      </c>
      <c r="BJ157">
        <v>0.71790085348290955</v>
      </c>
      <c r="BK157">
        <v>7.5500048457097194E-2</v>
      </c>
      <c r="BL157">
        <v>0.71251875723421665</v>
      </c>
      <c r="BM157">
        <v>7.8858370675570999E-2</v>
      </c>
      <c r="BN157">
        <v>0.71082591053305566</v>
      </c>
      <c r="BO157">
        <v>8.6766153616527605E-2</v>
      </c>
      <c r="BP157">
        <v>0.70622498922381005</v>
      </c>
      <c r="BQ157">
        <v>8.9417147916830197E-2</v>
      </c>
      <c r="BR157">
        <v>0.70446110832208486</v>
      </c>
      <c r="BS157">
        <v>9.3206832665920794E-2</v>
      </c>
    </row>
    <row r="158" spans="1:71" x14ac:dyDescent="0.3">
      <c r="A158" t="s">
        <v>764</v>
      </c>
      <c r="B158" t="s">
        <v>66</v>
      </c>
      <c r="C158" t="s">
        <v>163</v>
      </c>
      <c r="D158" t="s">
        <v>164</v>
      </c>
      <c r="E158" s="2">
        <v>43287</v>
      </c>
      <c r="F158" s="2">
        <v>0.34166666666715167</v>
      </c>
      <c r="G158">
        <v>99</v>
      </c>
      <c r="H158" s="2">
        <v>43320</v>
      </c>
      <c r="I158" s="2">
        <v>0.50416666666569654</v>
      </c>
      <c r="J158" t="s">
        <v>115</v>
      </c>
      <c r="K158">
        <v>165</v>
      </c>
      <c r="L158" t="s">
        <v>177</v>
      </c>
      <c r="M158" t="s">
        <v>262</v>
      </c>
      <c r="N158" t="s">
        <v>765</v>
      </c>
      <c r="O158" t="s">
        <v>766</v>
      </c>
      <c r="Q158" t="s">
        <v>767</v>
      </c>
      <c r="R158">
        <v>93.133870349060217</v>
      </c>
      <c r="S158">
        <v>0</v>
      </c>
      <c r="T158" s="6">
        <f t="shared" si="12"/>
        <v>93.133870349060217</v>
      </c>
      <c r="U158" s="6">
        <v>96.904024767801857</v>
      </c>
      <c r="V158" s="6">
        <v>0.17924067133778721</v>
      </c>
      <c r="W158" s="6">
        <f t="shared" si="13"/>
        <v>97.083265439139637</v>
      </c>
      <c r="X158" s="6">
        <v>96.849973304858523</v>
      </c>
      <c r="Y158" s="6">
        <v>0.69407367859049651</v>
      </c>
      <c r="Z158" s="6">
        <f t="shared" si="14"/>
        <v>97.544046983449022</v>
      </c>
      <c r="AA158" s="6">
        <v>88.972614294550979</v>
      </c>
      <c r="AB158" s="6">
        <v>1.293370072541191</v>
      </c>
      <c r="AC158" s="6">
        <f t="shared" si="15"/>
        <v>90.265984367092173</v>
      </c>
      <c r="AD158" s="6">
        <v>81.177151678888464</v>
      </c>
      <c r="AE158" s="6">
        <v>1.181011192589734</v>
      </c>
      <c r="AF158" s="6">
        <f t="shared" si="16"/>
        <v>82.3581628714782</v>
      </c>
      <c r="AG158" s="6">
        <v>76.543383886790323</v>
      </c>
      <c r="AH158" s="6">
        <v>1.17832778936686</v>
      </c>
      <c r="AI158" s="6">
        <f t="shared" si="17"/>
        <v>77.721711676157184</v>
      </c>
      <c r="AJ158">
        <v>195.46430503189529</v>
      </c>
      <c r="AK158" s="3">
        <v>0</v>
      </c>
      <c r="AL158" s="6">
        <v>0</v>
      </c>
      <c r="AM158" s="6">
        <v>0</v>
      </c>
      <c r="AN158">
        <v>479.92245310473561</v>
      </c>
      <c r="AO158">
        <v>0</v>
      </c>
      <c r="AP158">
        <v>0</v>
      </c>
      <c r="AQ158">
        <v>0</v>
      </c>
      <c r="AR158">
        <v>441.42556896580987</v>
      </c>
      <c r="AS158">
        <v>63.457629373613763</v>
      </c>
      <c r="AT158">
        <v>0</v>
      </c>
      <c r="AU158">
        <v>0</v>
      </c>
      <c r="AV158">
        <v>258.54120808138669</v>
      </c>
      <c r="AW158">
        <v>117.319538470485</v>
      </c>
      <c r="AX158">
        <v>91.464673372838519</v>
      </c>
      <c r="AY158">
        <v>77.96201260700407</v>
      </c>
      <c r="AZ158">
        <v>132.19287315048209</v>
      </c>
      <c r="BA158">
        <v>137.85424586158081</v>
      </c>
      <c r="BB158">
        <v>97.019299008318356</v>
      </c>
      <c r="BC158">
        <v>70.378172541551791</v>
      </c>
      <c r="BD158">
        <v>111.0127721697537</v>
      </c>
      <c r="BE158">
        <v>186.40310330590901</v>
      </c>
      <c r="BF158">
        <v>167.2789168869528</v>
      </c>
      <c r="BG158">
        <v>89.740414145588943</v>
      </c>
      <c r="BH158">
        <v>0.78490242631285512</v>
      </c>
      <c r="BI158">
        <v>7.1942645859073104E-2</v>
      </c>
      <c r="BJ158">
        <v>0.80043565482541157</v>
      </c>
      <c r="BK158">
        <v>5.5350560917098099E-2</v>
      </c>
      <c r="BL158">
        <v>0.80888319178393997</v>
      </c>
      <c r="BM158">
        <v>4.8728901790631697E-2</v>
      </c>
      <c r="BN158">
        <v>0.8075553257066953</v>
      </c>
      <c r="BO158">
        <v>5.5019897873391697E-2</v>
      </c>
      <c r="BP158">
        <v>0.80364145629880013</v>
      </c>
      <c r="BQ158">
        <v>5.7414195478337697E-2</v>
      </c>
      <c r="BR158">
        <v>0.79971978192274173</v>
      </c>
      <c r="BS158">
        <v>5.9713217583483899E-2</v>
      </c>
    </row>
    <row r="159" spans="1:71" x14ac:dyDescent="0.3">
      <c r="A159" t="s">
        <v>764</v>
      </c>
      <c r="B159" t="s">
        <v>76</v>
      </c>
      <c r="C159" t="s">
        <v>155</v>
      </c>
      <c r="D159" t="s">
        <v>235</v>
      </c>
      <c r="E159" s="2">
        <v>43287</v>
      </c>
      <c r="F159" s="2">
        <v>0.37083333333430352</v>
      </c>
      <c r="G159">
        <v>99</v>
      </c>
      <c r="H159" s="2">
        <v>43320</v>
      </c>
      <c r="I159" s="2">
        <v>0.48680555555620231</v>
      </c>
      <c r="J159" t="s">
        <v>86</v>
      </c>
      <c r="K159">
        <v>330</v>
      </c>
      <c r="L159" t="s">
        <v>633</v>
      </c>
      <c r="M159" t="s">
        <v>304</v>
      </c>
      <c r="N159" t="s">
        <v>768</v>
      </c>
      <c r="O159" t="s">
        <v>769</v>
      </c>
      <c r="P159" t="s">
        <v>770</v>
      </c>
      <c r="Q159" t="s">
        <v>771</v>
      </c>
      <c r="R159">
        <v>93.133870349060217</v>
      </c>
      <c r="S159">
        <v>0</v>
      </c>
      <c r="T159" s="6">
        <f t="shared" si="12"/>
        <v>93.133870349060217</v>
      </c>
      <c r="U159" s="6">
        <v>96.904024767801857</v>
      </c>
      <c r="V159" s="6">
        <v>0.17924067133778721</v>
      </c>
      <c r="W159" s="6">
        <f t="shared" si="13"/>
        <v>97.083265439139637</v>
      </c>
      <c r="X159" s="6">
        <v>96.849973304858523</v>
      </c>
      <c r="Y159" s="6">
        <v>0.69407367859049651</v>
      </c>
      <c r="Z159" s="6">
        <f t="shared" si="14"/>
        <v>97.544046983449022</v>
      </c>
      <c r="AA159" s="6">
        <v>88.972614294550979</v>
      </c>
      <c r="AB159" s="6">
        <v>1.293370072541191</v>
      </c>
      <c r="AC159" s="6">
        <f t="shared" si="15"/>
        <v>90.265984367092173</v>
      </c>
      <c r="AD159" s="6">
        <v>81.177151678888464</v>
      </c>
      <c r="AE159" s="6">
        <v>1.181011192589734</v>
      </c>
      <c r="AF159" s="6">
        <f t="shared" si="16"/>
        <v>82.3581628714782</v>
      </c>
      <c r="AG159" s="6">
        <v>76.543383886790323</v>
      </c>
      <c r="AH159" s="6">
        <v>1.17832778936686</v>
      </c>
      <c r="AI159" s="6">
        <f t="shared" si="17"/>
        <v>77.721711676157184</v>
      </c>
      <c r="AJ159">
        <v>195.46430503189529</v>
      </c>
      <c r="AK159" s="3">
        <v>0</v>
      </c>
      <c r="AL159" s="6">
        <v>0</v>
      </c>
      <c r="AM159" s="6">
        <v>0</v>
      </c>
      <c r="AN159">
        <v>479.92245310473561</v>
      </c>
      <c r="AO159">
        <v>0</v>
      </c>
      <c r="AP159">
        <v>0</v>
      </c>
      <c r="AQ159">
        <v>0</v>
      </c>
      <c r="AR159">
        <v>441.42556896580987</v>
      </c>
      <c r="AS159">
        <v>63.457629373613763</v>
      </c>
      <c r="AT159">
        <v>0</v>
      </c>
      <c r="AU159">
        <v>0</v>
      </c>
      <c r="AV159">
        <v>258.54120808138669</v>
      </c>
      <c r="AW159">
        <v>117.319538470485</v>
      </c>
      <c r="AX159">
        <v>91.464673372838519</v>
      </c>
      <c r="AY159">
        <v>77.96201260700407</v>
      </c>
      <c r="AZ159">
        <v>132.19287315048209</v>
      </c>
      <c r="BA159">
        <v>137.85424586158081</v>
      </c>
      <c r="BB159">
        <v>97.019299008318356</v>
      </c>
      <c r="BC159">
        <v>70.378172541551791</v>
      </c>
      <c r="BD159">
        <v>111.0127721697537</v>
      </c>
      <c r="BE159">
        <v>186.40310330590901</v>
      </c>
      <c r="BF159">
        <v>167.2789168869528</v>
      </c>
      <c r="BG159">
        <v>89.740414145588943</v>
      </c>
      <c r="BH159">
        <v>0.78490242631285512</v>
      </c>
      <c r="BI159">
        <v>7.1942645859073104E-2</v>
      </c>
      <c r="BJ159">
        <v>0.80043565482541157</v>
      </c>
      <c r="BK159">
        <v>5.5350560917098099E-2</v>
      </c>
      <c r="BL159">
        <v>0.80888319178393997</v>
      </c>
      <c r="BM159">
        <v>4.8728901790631697E-2</v>
      </c>
      <c r="BN159">
        <v>0.8075553257066953</v>
      </c>
      <c r="BO159">
        <v>5.5019897873391697E-2</v>
      </c>
      <c r="BP159">
        <v>0.80364145629880013</v>
      </c>
      <c r="BQ159">
        <v>5.7414195478337697E-2</v>
      </c>
      <c r="BR159">
        <v>0.79971978192274173</v>
      </c>
      <c r="BS159">
        <v>5.9713217583483899E-2</v>
      </c>
    </row>
    <row r="160" spans="1:71" x14ac:dyDescent="0.3">
      <c r="A160" t="s">
        <v>764</v>
      </c>
      <c r="B160" t="s">
        <v>83</v>
      </c>
      <c r="C160" t="s">
        <v>330</v>
      </c>
      <c r="D160" t="s">
        <v>241</v>
      </c>
      <c r="E160" s="2">
        <v>43287</v>
      </c>
      <c r="F160" s="2">
        <v>0.46319444444452529</v>
      </c>
      <c r="G160">
        <v>97</v>
      </c>
      <c r="H160" s="2">
        <v>43320</v>
      </c>
      <c r="I160" s="2">
        <v>0.47013888888977817</v>
      </c>
      <c r="J160" t="s">
        <v>150</v>
      </c>
      <c r="K160">
        <v>329</v>
      </c>
      <c r="L160" t="s">
        <v>177</v>
      </c>
      <c r="M160" t="s">
        <v>226</v>
      </c>
      <c r="N160" t="s">
        <v>772</v>
      </c>
      <c r="O160" t="s">
        <v>773</v>
      </c>
      <c r="R160">
        <v>93.133870349060217</v>
      </c>
      <c r="S160">
        <v>0</v>
      </c>
      <c r="T160" s="6">
        <f t="shared" si="12"/>
        <v>93.133870349060217</v>
      </c>
      <c r="U160" s="6">
        <v>96.904024767801857</v>
      </c>
      <c r="V160" s="6">
        <v>0.17924067133778721</v>
      </c>
      <c r="W160" s="6">
        <f t="shared" si="13"/>
        <v>97.083265439139637</v>
      </c>
      <c r="X160" s="6">
        <v>96.849973304858523</v>
      </c>
      <c r="Y160" s="6">
        <v>0.69407367859049651</v>
      </c>
      <c r="Z160" s="6">
        <f t="shared" si="14"/>
        <v>97.544046983449022</v>
      </c>
      <c r="AA160" s="6">
        <v>88.972614294550979</v>
      </c>
      <c r="AB160" s="6">
        <v>1.293370072541191</v>
      </c>
      <c r="AC160" s="6">
        <f t="shared" si="15"/>
        <v>90.265984367092173</v>
      </c>
      <c r="AD160" s="6">
        <v>81.177151678888464</v>
      </c>
      <c r="AE160" s="6">
        <v>1.181011192589734</v>
      </c>
      <c r="AF160" s="6">
        <f t="shared" si="16"/>
        <v>82.3581628714782</v>
      </c>
      <c r="AG160" s="6">
        <v>76.543383886790323</v>
      </c>
      <c r="AH160" s="6">
        <v>1.17832778936686</v>
      </c>
      <c r="AI160" s="6">
        <f t="shared" si="17"/>
        <v>77.721711676157184</v>
      </c>
      <c r="AJ160">
        <v>195.46430503189529</v>
      </c>
      <c r="AK160" s="3">
        <v>0</v>
      </c>
      <c r="AL160" s="6">
        <v>0</v>
      </c>
      <c r="AM160" s="6">
        <v>0</v>
      </c>
      <c r="AN160">
        <v>479.92245310473561</v>
      </c>
      <c r="AO160">
        <v>0</v>
      </c>
      <c r="AP160">
        <v>0</v>
      </c>
      <c r="AQ160">
        <v>0</v>
      </c>
      <c r="AR160">
        <v>441.42556896580987</v>
      </c>
      <c r="AS160">
        <v>63.457629373613763</v>
      </c>
      <c r="AT160">
        <v>0</v>
      </c>
      <c r="AU160">
        <v>0</v>
      </c>
      <c r="AV160">
        <v>258.54120808138669</v>
      </c>
      <c r="AW160">
        <v>117.319538470485</v>
      </c>
      <c r="AX160">
        <v>91.464673372838519</v>
      </c>
      <c r="AY160">
        <v>77.96201260700407</v>
      </c>
      <c r="AZ160">
        <v>132.19287315048209</v>
      </c>
      <c r="BA160">
        <v>137.85424586158081</v>
      </c>
      <c r="BB160">
        <v>97.019299008318356</v>
      </c>
      <c r="BC160">
        <v>70.378172541551791</v>
      </c>
      <c r="BD160">
        <v>111.0127721697537</v>
      </c>
      <c r="BE160">
        <v>186.40310330590901</v>
      </c>
      <c r="BF160">
        <v>167.2789168869528</v>
      </c>
      <c r="BG160">
        <v>89.740414145588943</v>
      </c>
      <c r="BH160">
        <v>0.78490242631285512</v>
      </c>
      <c r="BI160">
        <v>7.1942645859073104E-2</v>
      </c>
      <c r="BJ160">
        <v>0.80043565482541157</v>
      </c>
      <c r="BK160">
        <v>5.5350560917098099E-2</v>
      </c>
      <c r="BL160">
        <v>0.80888319178393997</v>
      </c>
      <c r="BM160">
        <v>4.8728901790631697E-2</v>
      </c>
      <c r="BN160">
        <v>0.8075553257066953</v>
      </c>
      <c r="BO160">
        <v>5.5019897873391697E-2</v>
      </c>
      <c r="BP160">
        <v>0.80364145629880013</v>
      </c>
      <c r="BQ160">
        <v>5.7414195478337697E-2</v>
      </c>
      <c r="BR160">
        <v>0.79971978192274173</v>
      </c>
      <c r="BS160">
        <v>5.9713217583483899E-2</v>
      </c>
    </row>
    <row r="161" spans="1:71" x14ac:dyDescent="0.3">
      <c r="A161" t="s">
        <v>774</v>
      </c>
      <c r="B161" t="s">
        <v>66</v>
      </c>
      <c r="C161" t="s">
        <v>142</v>
      </c>
      <c r="D161" t="s">
        <v>78</v>
      </c>
      <c r="E161" s="2">
        <v>43006</v>
      </c>
      <c r="F161" s="2">
        <v>0.50347222222262644</v>
      </c>
      <c r="G161">
        <v>90</v>
      </c>
      <c r="H161" s="2">
        <v>43047</v>
      </c>
      <c r="I161" s="2">
        <v>0.49236111111167702</v>
      </c>
      <c r="J161" t="s">
        <v>257</v>
      </c>
      <c r="K161">
        <v>169</v>
      </c>
      <c r="L161" t="s">
        <v>70</v>
      </c>
      <c r="M161" t="s">
        <v>178</v>
      </c>
      <c r="N161" t="s">
        <v>775</v>
      </c>
      <c r="O161" t="s">
        <v>776</v>
      </c>
      <c r="P161" t="s">
        <v>777</v>
      </c>
      <c r="R161">
        <v>9.0558766859344892</v>
      </c>
      <c r="S161">
        <v>0</v>
      </c>
      <c r="T161" s="6">
        <f t="shared" si="12"/>
        <v>9.0558766859344892</v>
      </c>
      <c r="U161" s="6">
        <v>7.0349309504467934</v>
      </c>
      <c r="V161" s="6">
        <v>0.2437043054427295</v>
      </c>
      <c r="W161" s="6">
        <f t="shared" si="13"/>
        <v>7.2786352558895233</v>
      </c>
      <c r="X161" s="6">
        <v>6.3056644104025654</v>
      </c>
      <c r="Y161" s="6">
        <v>0.2048450302814393</v>
      </c>
      <c r="Z161" s="6">
        <f t="shared" si="14"/>
        <v>6.5105094406840047</v>
      </c>
      <c r="AA161" s="6">
        <v>5.2687749255743412</v>
      </c>
      <c r="AB161" s="6">
        <v>0.12919170926248391</v>
      </c>
      <c r="AC161" s="6">
        <f t="shared" si="15"/>
        <v>5.3979666348368252</v>
      </c>
      <c r="AD161" s="6">
        <v>4.8930254112921912</v>
      </c>
      <c r="AE161" s="6">
        <v>0.17764733142813011</v>
      </c>
      <c r="AF161" s="6">
        <f t="shared" si="16"/>
        <v>5.0706727427203209</v>
      </c>
      <c r="AG161" s="6">
        <v>5.1077616565713484</v>
      </c>
      <c r="AH161" s="6">
        <v>0.20566276940414141</v>
      </c>
      <c r="AI161" s="6">
        <f t="shared" si="17"/>
        <v>5.3134244259754899</v>
      </c>
      <c r="AJ161">
        <v>6.2819183322982246</v>
      </c>
      <c r="AK161" s="3">
        <v>160.83484846931191</v>
      </c>
      <c r="AL161">
        <v>168.662290973533</v>
      </c>
      <c r="AM161">
        <v>104.8667577821075</v>
      </c>
      <c r="AN161">
        <v>5.1543945290657964</v>
      </c>
      <c r="AO161">
        <v>282.37188882479029</v>
      </c>
      <c r="AP161">
        <v>308.05481601053992</v>
      </c>
      <c r="AQ161">
        <v>109.0954263516244</v>
      </c>
      <c r="AR161">
        <v>5.3447556906510219</v>
      </c>
      <c r="AS161">
        <v>298.04631365537352</v>
      </c>
      <c r="AT161">
        <v>316.99812543178211</v>
      </c>
      <c r="AU161">
        <v>106.3586801473822</v>
      </c>
      <c r="AV161">
        <v>4.0734976500269369</v>
      </c>
      <c r="AW161">
        <v>311.22302868915642</v>
      </c>
      <c r="AX161">
        <v>266.04574807613011</v>
      </c>
      <c r="AY161">
        <v>85.483953162685637</v>
      </c>
      <c r="AZ161">
        <v>3.3020339951826281</v>
      </c>
      <c r="BA161">
        <v>276.92850944436088</v>
      </c>
      <c r="BB161">
        <v>204.6379464850707</v>
      </c>
      <c r="BC161">
        <v>73.895586588633819</v>
      </c>
      <c r="BD161">
        <v>3.5324084599629448</v>
      </c>
      <c r="BE161">
        <v>221.7775761331668</v>
      </c>
      <c r="BF161">
        <v>206.69269170792049</v>
      </c>
      <c r="BG161">
        <v>93.198192221115903</v>
      </c>
      <c r="BH161">
        <v>0.78686640545441455</v>
      </c>
      <c r="BI161">
        <v>9.2618008852065101E-2</v>
      </c>
      <c r="BJ161">
        <v>0.79143064621054271</v>
      </c>
      <c r="BK161">
        <v>8.8335470599701094E-2</v>
      </c>
      <c r="BL161">
        <v>0.79517204475345671</v>
      </c>
      <c r="BM161">
        <v>8.8224450440268401E-2</v>
      </c>
      <c r="BN161">
        <v>0.79806835222171935</v>
      </c>
      <c r="BO161">
        <v>9.0669351968031997E-2</v>
      </c>
      <c r="BP161">
        <v>0.80224247534550253</v>
      </c>
      <c r="BQ161">
        <v>8.6981374837560493E-2</v>
      </c>
      <c r="BR161">
        <v>0.79888113515108028</v>
      </c>
      <c r="BS161">
        <v>9.3527705918666798E-2</v>
      </c>
    </row>
    <row r="162" spans="1:71" x14ac:dyDescent="0.3">
      <c r="A162" t="s">
        <v>774</v>
      </c>
      <c r="B162" t="s">
        <v>76</v>
      </c>
      <c r="C162" t="s">
        <v>303</v>
      </c>
      <c r="D162" t="s">
        <v>325</v>
      </c>
      <c r="E162" s="2">
        <v>43006</v>
      </c>
      <c r="F162" s="2">
        <v>0.55138888888905058</v>
      </c>
      <c r="G162">
        <v>89</v>
      </c>
      <c r="H162" s="2">
        <v>43047</v>
      </c>
      <c r="I162" s="2">
        <v>0.5</v>
      </c>
      <c r="J162" t="s">
        <v>144</v>
      </c>
      <c r="K162">
        <v>557</v>
      </c>
      <c r="L162" t="s">
        <v>138</v>
      </c>
      <c r="M162" t="s">
        <v>188</v>
      </c>
      <c r="N162" t="s">
        <v>778</v>
      </c>
      <c r="O162" t="s">
        <v>779</v>
      </c>
      <c r="P162" t="s">
        <v>780</v>
      </c>
      <c r="Q162" t="s">
        <v>679</v>
      </c>
      <c r="R162">
        <v>9.0558766859344892</v>
      </c>
      <c r="S162">
        <v>0</v>
      </c>
      <c r="T162" s="6">
        <f t="shared" si="12"/>
        <v>9.0558766859344892</v>
      </c>
      <c r="U162" s="6">
        <v>7.0349309504467934</v>
      </c>
      <c r="V162" s="6">
        <v>0.2437043054427295</v>
      </c>
      <c r="W162" s="6">
        <f t="shared" si="13"/>
        <v>7.2786352558895233</v>
      </c>
      <c r="X162" s="6">
        <v>6.3056644104025654</v>
      </c>
      <c r="Y162" s="6">
        <v>0.2048450302814393</v>
      </c>
      <c r="Z162" s="6">
        <f t="shared" si="14"/>
        <v>6.5105094406840047</v>
      </c>
      <c r="AA162" s="6">
        <v>5.2687749255743412</v>
      </c>
      <c r="AB162" s="6">
        <v>0.12919170926248391</v>
      </c>
      <c r="AC162" s="6">
        <f t="shared" si="15"/>
        <v>5.3979666348368252</v>
      </c>
      <c r="AD162" s="6">
        <v>4.8930254112921912</v>
      </c>
      <c r="AE162" s="6">
        <v>0.17764733142813011</v>
      </c>
      <c r="AF162" s="6">
        <f t="shared" si="16"/>
        <v>5.0706727427203209</v>
      </c>
      <c r="AG162" s="6">
        <v>5.1077616565713484</v>
      </c>
      <c r="AH162" s="6">
        <v>0.20566276940414141</v>
      </c>
      <c r="AI162" s="6">
        <f t="shared" si="17"/>
        <v>5.3134244259754899</v>
      </c>
      <c r="AJ162">
        <v>6.2819183322982246</v>
      </c>
      <c r="AK162" s="3">
        <v>160.83484846931191</v>
      </c>
      <c r="AL162">
        <v>168.662290973533</v>
      </c>
      <c r="AM162">
        <v>104.8667577821075</v>
      </c>
      <c r="AN162">
        <v>5.1543945290657964</v>
      </c>
      <c r="AO162">
        <v>282.37188882479029</v>
      </c>
      <c r="AP162">
        <v>308.05481601053992</v>
      </c>
      <c r="AQ162">
        <v>109.0954263516244</v>
      </c>
      <c r="AR162">
        <v>5.3447556906510219</v>
      </c>
      <c r="AS162">
        <v>298.04631365537352</v>
      </c>
      <c r="AT162">
        <v>316.99812543178211</v>
      </c>
      <c r="AU162">
        <v>106.3586801473822</v>
      </c>
      <c r="AV162">
        <v>4.0734976500269369</v>
      </c>
      <c r="AW162">
        <v>311.22302868915642</v>
      </c>
      <c r="AX162">
        <v>266.04574807613011</v>
      </c>
      <c r="AY162">
        <v>85.483953162685637</v>
      </c>
      <c r="AZ162">
        <v>3.3020339951826281</v>
      </c>
      <c r="BA162">
        <v>276.92850944436088</v>
      </c>
      <c r="BB162">
        <v>204.6379464850707</v>
      </c>
      <c r="BC162">
        <v>73.895586588633819</v>
      </c>
      <c r="BD162">
        <v>3.5324084599629448</v>
      </c>
      <c r="BE162">
        <v>221.7775761331668</v>
      </c>
      <c r="BF162">
        <v>206.69269170792049</v>
      </c>
      <c r="BG162">
        <v>93.198192221115903</v>
      </c>
      <c r="BH162">
        <v>0.78686640545441455</v>
      </c>
      <c r="BI162">
        <v>9.2618008852065101E-2</v>
      </c>
      <c r="BJ162">
        <v>0.79143064621054271</v>
      </c>
      <c r="BK162">
        <v>8.8335470599701094E-2</v>
      </c>
      <c r="BL162">
        <v>0.79517204475345671</v>
      </c>
      <c r="BM162">
        <v>8.8224450440268401E-2</v>
      </c>
      <c r="BN162">
        <v>0.79806835222171935</v>
      </c>
      <c r="BO162">
        <v>9.0669351968031997E-2</v>
      </c>
      <c r="BP162">
        <v>0.80224247534550253</v>
      </c>
      <c r="BQ162">
        <v>8.6981374837560493E-2</v>
      </c>
      <c r="BR162">
        <v>0.79888113515108028</v>
      </c>
      <c r="BS162">
        <v>9.3527705918666798E-2</v>
      </c>
    </row>
    <row r="163" spans="1:71" x14ac:dyDescent="0.3">
      <c r="A163" t="s">
        <v>774</v>
      </c>
      <c r="B163" t="s">
        <v>83</v>
      </c>
      <c r="C163" t="s">
        <v>136</v>
      </c>
      <c r="D163" t="s">
        <v>377</v>
      </c>
      <c r="E163" s="2">
        <v>43006</v>
      </c>
      <c r="F163" s="2">
        <v>0.65277777777737356</v>
      </c>
      <c r="G163">
        <v>91</v>
      </c>
      <c r="H163" s="2">
        <v>43047</v>
      </c>
      <c r="I163" s="2">
        <v>0.48472222222335398</v>
      </c>
      <c r="J163" t="s">
        <v>144</v>
      </c>
      <c r="K163">
        <v>463</v>
      </c>
      <c r="L163" t="s">
        <v>70</v>
      </c>
      <c r="M163" t="s">
        <v>184</v>
      </c>
      <c r="N163" t="s">
        <v>781</v>
      </c>
      <c r="O163" t="s">
        <v>782</v>
      </c>
      <c r="R163">
        <v>9.0558766859344892</v>
      </c>
      <c r="S163">
        <v>0</v>
      </c>
      <c r="T163" s="6">
        <f t="shared" si="12"/>
        <v>9.0558766859344892</v>
      </c>
      <c r="U163" s="6">
        <v>7.0349309504467934</v>
      </c>
      <c r="V163" s="6">
        <v>0.2437043054427295</v>
      </c>
      <c r="W163" s="6">
        <f t="shared" si="13"/>
        <v>7.2786352558895233</v>
      </c>
      <c r="X163" s="6">
        <v>6.3056644104025654</v>
      </c>
      <c r="Y163" s="6">
        <v>0.2048450302814393</v>
      </c>
      <c r="Z163" s="6">
        <f t="shared" si="14"/>
        <v>6.5105094406840047</v>
      </c>
      <c r="AA163" s="6">
        <v>5.2687749255743412</v>
      </c>
      <c r="AB163" s="6">
        <v>0.12919170926248391</v>
      </c>
      <c r="AC163" s="6">
        <f t="shared" si="15"/>
        <v>5.3979666348368252</v>
      </c>
      <c r="AD163" s="6">
        <v>4.8930254112921912</v>
      </c>
      <c r="AE163" s="6">
        <v>0.17764733142813011</v>
      </c>
      <c r="AF163" s="6">
        <f t="shared" si="16"/>
        <v>5.0706727427203209</v>
      </c>
      <c r="AG163" s="6">
        <v>5.1077616565713484</v>
      </c>
      <c r="AH163" s="6">
        <v>0.20566276940414141</v>
      </c>
      <c r="AI163" s="6">
        <f t="shared" si="17"/>
        <v>5.3134244259754899</v>
      </c>
      <c r="AJ163">
        <v>6.2819183322982246</v>
      </c>
      <c r="AK163" s="3">
        <v>160.83484846931191</v>
      </c>
      <c r="AL163">
        <v>168.662290973533</v>
      </c>
      <c r="AM163">
        <v>104.8667577821075</v>
      </c>
      <c r="AN163">
        <v>5.1543945290657964</v>
      </c>
      <c r="AO163">
        <v>282.37188882479029</v>
      </c>
      <c r="AP163">
        <v>308.05481601053992</v>
      </c>
      <c r="AQ163">
        <v>109.0954263516244</v>
      </c>
      <c r="AR163">
        <v>5.3447556906510219</v>
      </c>
      <c r="AS163">
        <v>298.04631365537352</v>
      </c>
      <c r="AT163">
        <v>316.99812543178211</v>
      </c>
      <c r="AU163">
        <v>106.3586801473822</v>
      </c>
      <c r="AV163">
        <v>4.0734976500269369</v>
      </c>
      <c r="AW163">
        <v>311.22302868915642</v>
      </c>
      <c r="AX163">
        <v>266.04574807613011</v>
      </c>
      <c r="AY163">
        <v>85.483953162685637</v>
      </c>
      <c r="AZ163">
        <v>3.3020339951826281</v>
      </c>
      <c r="BA163">
        <v>276.92850944436088</v>
      </c>
      <c r="BB163">
        <v>204.6379464850707</v>
      </c>
      <c r="BC163">
        <v>73.895586588633819</v>
      </c>
      <c r="BD163">
        <v>3.5324084599629448</v>
      </c>
      <c r="BE163">
        <v>221.7775761331668</v>
      </c>
      <c r="BF163">
        <v>206.69269170792049</v>
      </c>
      <c r="BG163">
        <v>93.198192221115903</v>
      </c>
      <c r="BH163">
        <v>0.78686640545441455</v>
      </c>
      <c r="BI163">
        <v>9.2618008852065101E-2</v>
      </c>
      <c r="BJ163">
        <v>0.79143064621054271</v>
      </c>
      <c r="BK163">
        <v>8.8335470599701094E-2</v>
      </c>
      <c r="BL163">
        <v>0.79517204475345671</v>
      </c>
      <c r="BM163">
        <v>8.8224450440268401E-2</v>
      </c>
      <c r="BN163">
        <v>0.79806835222171935</v>
      </c>
      <c r="BO163">
        <v>9.0669351968031997E-2</v>
      </c>
      <c r="BP163">
        <v>0.80224247534550253</v>
      </c>
      <c r="BQ163">
        <v>8.6981374837560493E-2</v>
      </c>
      <c r="BR163">
        <v>0.79888113515108028</v>
      </c>
      <c r="BS163">
        <v>9.3527705918666798E-2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Sofia Marcela</cp:lastModifiedBy>
  <dcterms:created xsi:type="dcterms:W3CDTF">2026-09-30T14:12:08Z</dcterms:created>
  <dcterms:modified xsi:type="dcterms:W3CDTF">2026-10-08T16:28:58Z</dcterms:modified>
</cp:coreProperties>
</file>