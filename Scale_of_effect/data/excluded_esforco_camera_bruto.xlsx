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5c6db3106a2702/lama/Mestrado/1-ZSL/envios/Modelos_chm/data/"/>
    </mc:Choice>
  </mc:AlternateContent>
  <xr:revisionPtr revIDLastSave="52" documentId="8_{665BF672-3E7B-4EC4-8DAA-A1295F08F144}" xr6:coauthVersionLast="47" xr6:coauthVersionMax="47" xr10:uidLastSave="{BA9AF914-475E-48B8-B2A4-B45B7DCE32B9}"/>
  <bookViews>
    <workbookView xWindow="-108" yWindow="-108" windowWidth="23256" windowHeight="12456" xr2:uid="{B89C7A51-CC79-492D-B4F2-94A12CB75DED}"/>
  </bookViews>
  <sheets>
    <sheet name="Planilha1" sheetId="1" r:id="rId1"/>
    <sheet name="comp" sheetId="2" r:id="rId2"/>
    <sheet name="ndvi_vegnativa" sheetId="3" r:id="rId3"/>
    <sheet name="ndvi_cana" sheetId="4" r:id="rId4"/>
    <sheet name="fragmentos" sheetId="5" r:id="rId5"/>
  </sheets>
  <definedNames>
    <definedName name="_xlnm._FilterDatabase" localSheetId="0" hidden="1">Planilha1!$A$1:$Q$163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2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Usuário do Windows</author>
  </authors>
  <commentList>
    <comment ref="C79" authorId="0" shapeId="0" xr:uid="{E386EA66-612B-4D49-8501-09ADE2C2E4B0}">
      <text>
        <r>
          <rPr>
            <b/>
            <sz val="9"/>
            <color indexed="81"/>
            <rFont val="Tahoma"/>
            <family val="2"/>
          </rPr>
          <t>Usuário do Windows:</t>
        </r>
        <r>
          <rPr>
            <sz val="9"/>
            <color indexed="81"/>
            <rFont val="Tahoma"/>
            <family val="2"/>
          </rPr>
          <t xml:space="preserve">
não foi anotada na caderneta de campo</t>
        </r>
      </text>
    </comment>
  </commentList>
</comments>
</file>

<file path=xl/sharedStrings.xml><?xml version="1.0" encoding="utf-8"?>
<sst xmlns="http://schemas.openxmlformats.org/spreadsheetml/2006/main" count="1675" uniqueCount="760">
  <si>
    <t>camera</t>
  </si>
  <si>
    <t>patrimonio</t>
  </si>
  <si>
    <t>sd</t>
  </si>
  <si>
    <t>data_instalacao</t>
  </si>
  <si>
    <t>hora_instalacao</t>
  </si>
  <si>
    <t>bateria_inicio</t>
  </si>
  <si>
    <t>data_retirada</t>
  </si>
  <si>
    <t>hora_retirada</t>
  </si>
  <si>
    <t>bateria_fim</t>
  </si>
  <si>
    <t>n_fotos</t>
  </si>
  <si>
    <t>vegetacao</t>
  </si>
  <si>
    <t>altura_media_veg</t>
  </si>
  <si>
    <t>lat</t>
  </si>
  <si>
    <t>long</t>
  </si>
  <si>
    <t>observacoes</t>
  </si>
  <si>
    <t>mamiferos</t>
  </si>
  <si>
    <t>P010</t>
  </si>
  <si>
    <t>C1</t>
  </si>
  <si>
    <t>059.028592</t>
  </si>
  <si>
    <t>1A</t>
  </si>
  <si>
    <t>eucalipto</t>
  </si>
  <si>
    <t>21.60966</t>
  </si>
  <si>
    <t>048.20454</t>
  </si>
  <si>
    <t>formigueiro com sauva no pé da camera / prop. Jaiminho</t>
  </si>
  <si>
    <t>C2</t>
  </si>
  <si>
    <t>059.031067</t>
  </si>
  <si>
    <t>2A</t>
  </si>
  <si>
    <t>app/eucalipto</t>
  </si>
  <si>
    <t>14</t>
  </si>
  <si>
    <t>21.59892</t>
  </si>
  <si>
    <t>048.21135</t>
  </si>
  <si>
    <t>C3</t>
  </si>
  <si>
    <t>059.028599</t>
  </si>
  <si>
    <t>3A</t>
  </si>
  <si>
    <t>app</t>
  </si>
  <si>
    <t>9</t>
  </si>
  <si>
    <t>21.59838</t>
  </si>
  <si>
    <t>048.21051</t>
  </si>
  <si>
    <t>ao lado de plantio de eucalipto / largura do curso d'água = 8m</t>
  </si>
  <si>
    <t>P100</t>
  </si>
  <si>
    <t>059.028607</t>
  </si>
  <si>
    <t>4A</t>
  </si>
  <si>
    <t>12</t>
  </si>
  <si>
    <t>21.32512</t>
  </si>
  <si>
    <t>047.93902</t>
  </si>
  <si>
    <t>app muito degradada / muito cipó e liana / próximo a curso d'água</t>
  </si>
  <si>
    <t>059.028608</t>
  </si>
  <si>
    <t>5A</t>
  </si>
  <si>
    <t>15</t>
  </si>
  <si>
    <t>21.33187</t>
  </si>
  <si>
    <t>047.94440</t>
  </si>
  <si>
    <t>app em regeneração</t>
  </si>
  <si>
    <t>059.028604</t>
  </si>
  <si>
    <t>6A</t>
  </si>
  <si>
    <t>mata degradada</t>
  </si>
  <si>
    <t>20</t>
  </si>
  <si>
    <t>21.33379</t>
  </si>
  <si>
    <t>047.94391</t>
  </si>
  <si>
    <t>muito degradada / muito cipó e liana / presença de angicos / no meio da cana</t>
  </si>
  <si>
    <r>
      <t xml:space="preserve">vocalização e visualização de </t>
    </r>
    <r>
      <rPr>
        <i/>
        <sz val="11"/>
        <color theme="1"/>
        <rFont val="Aptos Narrow"/>
        <family val="2"/>
        <scheme val="minor"/>
      </rPr>
      <t>Callithrix penicillata</t>
    </r>
  </si>
  <si>
    <t>P059</t>
  </si>
  <si>
    <t>059.031066</t>
  </si>
  <si>
    <t>13A</t>
  </si>
  <si>
    <t>13.5</t>
  </si>
  <si>
    <t>21.27328</t>
  </si>
  <si>
    <t>047.90051</t>
  </si>
  <si>
    <t>presença de figueiras e mangueiras (20m) / sub-bosque (12-15m) / beira de rio</t>
  </si>
  <si>
    <r>
      <t xml:space="preserve">visualização de uma fêmea de </t>
    </r>
    <r>
      <rPr>
        <i/>
        <sz val="11"/>
        <color theme="1"/>
        <rFont val="Aptos Narrow"/>
        <family val="2"/>
        <scheme val="minor"/>
      </rPr>
      <t>Allouata caraya</t>
    </r>
  </si>
  <si>
    <t>059.028591</t>
  </si>
  <si>
    <t>14A</t>
  </si>
  <si>
    <t>16</t>
  </si>
  <si>
    <t>21.27214</t>
  </si>
  <si>
    <t>047.88990</t>
  </si>
  <si>
    <t>muito capim / ao lado de curso d'água / cana na borda em processo de corte / maquinário retirando a cana / degradada</t>
  </si>
  <si>
    <t>059.028587</t>
  </si>
  <si>
    <t>15A</t>
  </si>
  <si>
    <t>21.27410</t>
  </si>
  <si>
    <t>047.90031</t>
  </si>
  <si>
    <t>próximo de curso d'água / borda com cana de 3m / em regeneração</t>
  </si>
  <si>
    <t>toca de tatu</t>
  </si>
  <si>
    <t>P064</t>
  </si>
  <si>
    <t>059.028600</t>
  </si>
  <si>
    <t>16A</t>
  </si>
  <si>
    <t>cerradao</t>
  </si>
  <si>
    <t>10</t>
  </si>
  <si>
    <t>21.37341</t>
  </si>
  <si>
    <t>047.65090</t>
  </si>
  <si>
    <t>ponto próximo da água / muitas samanbaias /  em regeneracao</t>
  </si>
  <si>
    <t>059.028605</t>
  </si>
  <si>
    <t>17A</t>
  </si>
  <si>
    <t>21.37523</t>
  </si>
  <si>
    <t>047.65417</t>
  </si>
  <si>
    <t>ambiente aberto / altura da vegetação: 4m com árvores emergentes de 15m /  em regeneracao</t>
  </si>
  <si>
    <t>2 foçados de tatus</t>
  </si>
  <si>
    <t>059.028601</t>
  </si>
  <si>
    <t>18A</t>
  </si>
  <si>
    <t>21.37826</t>
  </si>
  <si>
    <t>047.65888</t>
  </si>
  <si>
    <t>vestígios de caça nos arredores (foto do Adriano) / carcaça de Javaporco / menos aberto que C2 /  em regeneracao</t>
  </si>
  <si>
    <t>barreiro de porco</t>
  </si>
  <si>
    <t>P003</t>
  </si>
  <si>
    <t>059.028589</t>
  </si>
  <si>
    <t>7A</t>
  </si>
  <si>
    <t>21.40782</t>
  </si>
  <si>
    <t>048.71703</t>
  </si>
  <si>
    <t>transição de mata mesófila para cerrado / muito cipó / mais mesófila que cerrado / presença de apiário</t>
  </si>
  <si>
    <t>foçados de tatus</t>
  </si>
  <si>
    <t>059.028606</t>
  </si>
  <si>
    <t>8A</t>
  </si>
  <si>
    <t>21.40922</t>
  </si>
  <si>
    <t>048.71751</t>
  </si>
  <si>
    <t>muito fechado com cipó / impossível andar /  em regeneracao</t>
  </si>
  <si>
    <r>
      <t xml:space="preserve">rastro de </t>
    </r>
    <r>
      <rPr>
        <i/>
        <sz val="11"/>
        <color theme="1"/>
        <rFont val="Aptos Narrow"/>
        <family val="2"/>
        <scheme val="minor"/>
      </rPr>
      <t>Cuniculus paca</t>
    </r>
  </si>
  <si>
    <t>059.028602</t>
  </si>
  <si>
    <t>9A</t>
  </si>
  <si>
    <t>capoeira</t>
  </si>
  <si>
    <t>6</t>
  </si>
  <si>
    <t>21.40947</t>
  </si>
  <si>
    <t>048.71638</t>
  </si>
  <si>
    <t>árvores distantes / ambiente aberto mais semelhante à estacional semidecidual / mata em regenereção</t>
  </si>
  <si>
    <t>rastro de cachorro</t>
  </si>
  <si>
    <t>P126</t>
  </si>
  <si>
    <t>7B</t>
  </si>
  <si>
    <t>mesofila</t>
  </si>
  <si>
    <t>17</t>
  </si>
  <si>
    <t>21.48187</t>
  </si>
  <si>
    <t>048.10124</t>
  </si>
  <si>
    <t>muita liana / inclinado -14°/ emergentes 30m</t>
  </si>
  <si>
    <t>18B</t>
  </si>
  <si>
    <t>30</t>
  </si>
  <si>
    <t>21.48002</t>
  </si>
  <si>
    <t>048.10130</t>
  </si>
  <si>
    <t>muita liana / semidecidual</t>
  </si>
  <si>
    <t>8B</t>
  </si>
  <si>
    <t>21.48667</t>
  </si>
  <si>
    <t>048.10334</t>
  </si>
  <si>
    <t>muita liana / transição para hidrófila / solo encharcado</t>
  </si>
  <si>
    <t>P027</t>
  </si>
  <si>
    <t>16B</t>
  </si>
  <si>
    <t>21.06772</t>
  </si>
  <si>
    <t>048.17506</t>
  </si>
  <si>
    <t xml:space="preserve"> em regeneracao</t>
  </si>
  <si>
    <t>17B</t>
  </si>
  <si>
    <t>21.06718</t>
  </si>
  <si>
    <t>048.17568</t>
  </si>
  <si>
    <t>fezes de bugio</t>
  </si>
  <si>
    <t>15B</t>
  </si>
  <si>
    <t>7</t>
  </si>
  <si>
    <t>21.06739</t>
  </si>
  <si>
    <t>048.17810</t>
  </si>
  <si>
    <t>P081</t>
  </si>
  <si>
    <t>10B</t>
  </si>
  <si>
    <t>11</t>
  </si>
  <si>
    <t>21.35778</t>
  </si>
  <si>
    <t>047.55171</t>
  </si>
  <si>
    <t>sub-bosque fechado / declividade -11° / em regeneracao</t>
  </si>
  <si>
    <t>14B</t>
  </si>
  <si>
    <t>21.35414</t>
  </si>
  <si>
    <t>047.54936</t>
  </si>
  <si>
    <t>5B</t>
  </si>
  <si>
    <t>21.35239</t>
  </si>
  <si>
    <t>047.54743</t>
  </si>
  <si>
    <t>P099</t>
  </si>
  <si>
    <t>NA</t>
  </si>
  <si>
    <t>048.66568</t>
  </si>
  <si>
    <t>12B</t>
  </si>
  <si>
    <t>transicao</t>
  </si>
  <si>
    <t>21.46233</t>
  </si>
  <si>
    <t>transicao mesofila-cerradao / emergentes 20m</t>
  </si>
  <si>
    <t>2B</t>
  </si>
  <si>
    <t>21.45281</t>
  </si>
  <si>
    <t>048.66575</t>
  </si>
  <si>
    <t>P074</t>
  </si>
  <si>
    <t>6B</t>
  </si>
  <si>
    <t>5</t>
  </si>
  <si>
    <t>20.69627</t>
  </si>
  <si>
    <t>047.94495</t>
  </si>
  <si>
    <t>muita liana / goiabeiras / dossel bem aberto</t>
  </si>
  <si>
    <t>11B</t>
  </si>
  <si>
    <t>20.69485</t>
  </si>
  <si>
    <t>047.93403</t>
  </si>
  <si>
    <t>muita liana / mata degradada</t>
  </si>
  <si>
    <t>9B</t>
  </si>
  <si>
    <t>20.69456</t>
  </si>
  <si>
    <t>047.93093</t>
  </si>
  <si>
    <t>transicao mesofila-cerradao / pouca liana/ com vegetacao arbustiva</t>
  </si>
  <si>
    <t>P096</t>
  </si>
  <si>
    <t>21.43966</t>
  </si>
  <si>
    <t>048.13380</t>
  </si>
  <si>
    <t>emergentes de 15m</t>
  </si>
  <si>
    <t>vocalização de callithrix_sp</t>
  </si>
  <si>
    <t>21.43584</t>
  </si>
  <si>
    <t>048.13262</t>
  </si>
  <si>
    <t>mata alagada com brejo / samambaias / emergentes de 15m / pomar com goiabeiras, pitanga mamão / em regeneracao</t>
  </si>
  <si>
    <t>21.42928</t>
  </si>
  <si>
    <t>048.13752</t>
  </si>
  <si>
    <t>com caraguatá e samambaia / emergentes de 15m</t>
  </si>
  <si>
    <t>P020</t>
  </si>
  <si>
    <t>20.82733</t>
  </si>
  <si>
    <t>048.47550</t>
  </si>
  <si>
    <t>mata alagada / solo tipo brejo / em regeneracao</t>
  </si>
  <si>
    <t>cranio e pegadas de porco</t>
  </si>
  <si>
    <t>20.82887</t>
  </si>
  <si>
    <t>048.47620</t>
  </si>
  <si>
    <t>transição de mata alagada para cerradao / um pouco  mais seco</t>
  </si>
  <si>
    <t>chafurdado de javali</t>
  </si>
  <si>
    <t>reflorestamento</t>
  </si>
  <si>
    <t>20.81842</t>
  </si>
  <si>
    <t>048.48124</t>
  </si>
  <si>
    <t>linhas de plantio</t>
  </si>
  <si>
    <t>P103</t>
  </si>
  <si>
    <t>21.63430</t>
  </si>
  <si>
    <t>047.67762</t>
  </si>
  <si>
    <t>cerradao / riacho com agua transparente e areia no fundo</t>
  </si>
  <si>
    <t>javali ou cateto?</t>
  </si>
  <si>
    <t>19A</t>
  </si>
  <si>
    <t>21.62771</t>
  </si>
  <si>
    <t>047.67603</t>
  </si>
  <si>
    <t>transicao para varzea / area aberta ao lado da camera</t>
  </si>
  <si>
    <t>javali</t>
  </si>
  <si>
    <t>21.62621</t>
  </si>
  <si>
    <t>047.67754</t>
  </si>
  <si>
    <t>solo preto e úmido / ao lado de um cerrado campo sujo</t>
  </si>
  <si>
    <t>tatu-galinha predado</t>
  </si>
  <si>
    <t>P034</t>
  </si>
  <si>
    <t>21.52393</t>
  </si>
  <si>
    <t>048.55500</t>
  </si>
  <si>
    <t>degradada / muita liana e dossel descontínuo</t>
  </si>
  <si>
    <t>059.028596</t>
  </si>
  <si>
    <t>12A</t>
  </si>
  <si>
    <t>21.52535</t>
  </si>
  <si>
    <t>048.55531</t>
  </si>
  <si>
    <t>palmito</t>
  </si>
  <si>
    <t>21.52258</t>
  </si>
  <si>
    <t>048.54712</t>
  </si>
  <si>
    <t xml:space="preserve">degradada / emergentes de 20m / dossel descontínuo / muitas lianas </t>
  </si>
  <si>
    <t>P065</t>
  </si>
  <si>
    <t>10A</t>
  </si>
  <si>
    <t>20.81083</t>
  </si>
  <si>
    <t>047.84102</t>
  </si>
  <si>
    <t>curso dágua limpo / emergentes de 20m / riparia decídua</t>
  </si>
  <si>
    <t>pegada de cutia e boi</t>
  </si>
  <si>
    <t>20.81195</t>
  </si>
  <si>
    <t>047.83936</t>
  </si>
  <si>
    <t>riparia decidua beira de agua / emergentes de 20m</t>
  </si>
  <si>
    <t>20.80996</t>
  </si>
  <si>
    <t>047.84095</t>
  </si>
  <si>
    <t>mata decidua proximo a curso dágua / demorou para ligar o walktest</t>
  </si>
  <si>
    <t>visualização de callithrix penicillata?</t>
  </si>
  <si>
    <t>P040</t>
  </si>
  <si>
    <t>21.20556</t>
  </si>
  <si>
    <t>048.41809</t>
  </si>
  <si>
    <t>cerradao / proximo a curso dagua / sub-bosque tipico de areas alagadas</t>
  </si>
  <si>
    <t>21.20635</t>
  </si>
  <si>
    <t>048.41917</t>
  </si>
  <si>
    <t>cerradao / proximo a curso dagua / dossel descontinuo</t>
  </si>
  <si>
    <t>059.028598</t>
  </si>
  <si>
    <t>21.20720</t>
  </si>
  <si>
    <t>048.41933</t>
  </si>
  <si>
    <t>borda de reflorestamento em contato com varzea</t>
  </si>
  <si>
    <t>P079</t>
  </si>
  <si>
    <t>20.85230</t>
  </si>
  <si>
    <t>048.57479</t>
  </si>
  <si>
    <t>cerradao transicao mesofila</t>
  </si>
  <si>
    <t>8</t>
  </si>
  <si>
    <t>20.84957</t>
  </si>
  <si>
    <t>048.57708</t>
  </si>
  <si>
    <t>cerradao transicao mesofila / emergentes 12-15m / presença de samambaias</t>
  </si>
  <si>
    <t>javaporco</t>
  </si>
  <si>
    <t>1B</t>
  </si>
  <si>
    <t>20.84938</t>
  </si>
  <si>
    <t>048.57917</t>
  </si>
  <si>
    <t>samambaias / solo úmido</t>
  </si>
  <si>
    <t>P118</t>
  </si>
  <si>
    <t>21.77107</t>
  </si>
  <si>
    <t>047.77124</t>
  </si>
  <si>
    <t>cerradao transicao para area alagada / trilha humana / retirada com chuva</t>
  </si>
  <si>
    <t>4B</t>
  </si>
  <si>
    <t>21.77228</t>
  </si>
  <si>
    <t>047.76958</t>
  </si>
  <si>
    <t>cerradao /area alagada / solo escuro / retirada com chuva</t>
  </si>
  <si>
    <t>21.77253</t>
  </si>
  <si>
    <t>047.77385</t>
  </si>
  <si>
    <t>cerradao / area alagada / grande quantidade de palmito</t>
  </si>
  <si>
    <t>P114</t>
  </si>
  <si>
    <t>21.57918</t>
  </si>
  <si>
    <t>048.53656</t>
  </si>
  <si>
    <t>app ripária / mata atlantica / curso dagua de 1m</t>
  </si>
  <si>
    <t>21.58085</t>
  </si>
  <si>
    <t>048.52797</t>
  </si>
  <si>
    <t>dossel descontinuo / presença de figueiras / solo seco / palmeiras adultas</t>
  </si>
  <si>
    <t>21.59019</t>
  </si>
  <si>
    <t>048.53534</t>
  </si>
  <si>
    <t>dossel descontinuo / pouco sub-bosque / muita liana / bem degradada</t>
  </si>
  <si>
    <t>P075</t>
  </si>
  <si>
    <t>20.70702</t>
  </si>
  <si>
    <t>047.63290</t>
  </si>
  <si>
    <t>mata riparia / dossel descontinuo / muita goiabeira / trilhas de gado</t>
  </si>
  <si>
    <t>gado</t>
  </si>
  <si>
    <t>mata</t>
  </si>
  <si>
    <t>20.70213</t>
  </si>
  <si>
    <t>047.62747</t>
  </si>
  <si>
    <t>area em regeneracao</t>
  </si>
  <si>
    <t>20.70543</t>
  </si>
  <si>
    <t>047.62518</t>
  </si>
  <si>
    <t>area riparia em regeneracao / dossel descontinuo / voltada para a estrada</t>
  </si>
  <si>
    <t>P151</t>
  </si>
  <si>
    <t>21.30895</t>
  </si>
  <si>
    <t>048.45399</t>
  </si>
  <si>
    <t>mata riparia secundaria / proximo do encontro do efluente da ETE</t>
  </si>
  <si>
    <t>21.31079</t>
  </si>
  <si>
    <t>048.44954</t>
  </si>
  <si>
    <t>eucalipto abandonado com cerradao regenerante / dossel descontinuo / prox. Area aberta com capim exótico</t>
  </si>
  <si>
    <t>buraco de tatu</t>
  </si>
  <si>
    <t>21.31003</t>
  </si>
  <si>
    <t>048.45187</t>
  </si>
  <si>
    <t>P136</t>
  </si>
  <si>
    <t>20.84671</t>
  </si>
  <si>
    <t>048.23987</t>
  </si>
  <si>
    <t>mata mesofila semidecidual</t>
  </si>
  <si>
    <t>20.85453</t>
  </si>
  <si>
    <t>048.23178</t>
  </si>
  <si>
    <t>muita serrapilheira / presença de "queijo"</t>
  </si>
  <si>
    <t>20.58004</t>
  </si>
  <si>
    <t>048.22602</t>
  </si>
  <si>
    <t>reflorestamento de 10 anos / prox. Da varzea</t>
  </si>
  <si>
    <t>P140</t>
  </si>
  <si>
    <t>21.71858</t>
  </si>
  <si>
    <t>047.74282</t>
  </si>
  <si>
    <t>mata mesófila com acentuada declividade / emergentes de 25m / dossel descontinuo / borda com lianas</t>
  </si>
  <si>
    <t>21.71497</t>
  </si>
  <si>
    <t>047.74506</t>
  </si>
  <si>
    <t>mata mesófila (borda) com dossel descontinuo / emergentes 30m</t>
  </si>
  <si>
    <t>fezes de mazama</t>
  </si>
  <si>
    <t>21.71452</t>
  </si>
  <si>
    <t>047.74655</t>
  </si>
  <si>
    <t>mata mesófila com dossel descontinuo / emergentes 40m / ARVORE CAIU com a camera</t>
  </si>
  <si>
    <t>P116</t>
  </si>
  <si>
    <t>21.89758</t>
  </si>
  <si>
    <t>048.70324</t>
  </si>
  <si>
    <t>mata muito seca / lianas / dossel descontinuo / muitos espinhso / cactos (fotos)</t>
  </si>
  <si>
    <t>fezes de tamandua-bandeira / fossado de tatu</t>
  </si>
  <si>
    <t>059.031068</t>
  </si>
  <si>
    <t>21.90063</t>
  </si>
  <si>
    <t>048.69951</t>
  </si>
  <si>
    <t>emergente 35m / dossel descontinuo / caraguatá e "queijo"</t>
  </si>
  <si>
    <t>21.90405</t>
  </si>
  <si>
    <t>048.69722</t>
  </si>
  <si>
    <t>mata mesofila umida (fotos) / samambaias / palmeiras / emergentes 25-30 / solo úmido preto</t>
  </si>
  <si>
    <t>P085</t>
  </si>
  <si>
    <t>20.71596</t>
  </si>
  <si>
    <t>047.43686</t>
  </si>
  <si>
    <t>mata ripária (mais para mata atlêntica) / samambaia / canela subbosque / serrapilheira úmida</t>
  </si>
  <si>
    <t>20.71336</t>
  </si>
  <si>
    <t>047.43736</t>
  </si>
  <si>
    <t>mata ripária / muita agua / toca de tatu em frente</t>
  </si>
  <si>
    <t>20.71190</t>
  </si>
  <si>
    <t>047.43579</t>
  </si>
  <si>
    <t>mata mesofila / dossel descontinuo / sem foto da camera</t>
  </si>
  <si>
    <t>P090</t>
  </si>
  <si>
    <t>20.66672</t>
  </si>
  <si>
    <t>047.11433</t>
  </si>
  <si>
    <t>mesofila semidecidua degradada / emergentes 25m / água próxima / area de pasto com muito gado</t>
  </si>
  <si>
    <t>20.66265</t>
  </si>
  <si>
    <t>047.11563</t>
  </si>
  <si>
    <t>mesofila degradada com muita liana na borda / emergentes 25-30m / area cercada / ponto no topo de vertente / GPS nil</t>
  </si>
  <si>
    <t>11A</t>
  </si>
  <si>
    <t>20.67400</t>
  </si>
  <si>
    <t>047.11994</t>
  </si>
  <si>
    <t>mesofila / dossel descontinuo / grande figueira / proxima a agua / dentro de erosão</t>
  </si>
  <si>
    <t>P128</t>
  </si>
  <si>
    <t>20.77699</t>
  </si>
  <si>
    <t>047.28204</t>
  </si>
  <si>
    <t>cerradao transicao cerrado senso estrito</t>
  </si>
  <si>
    <t>nene gorila (amigo cao)</t>
  </si>
  <si>
    <t>20.77862</t>
  </si>
  <si>
    <t>047.28584</t>
  </si>
  <si>
    <t>cerradao / foto da camera - Rodolpho</t>
  </si>
  <si>
    <t>20.77478</t>
  </si>
  <si>
    <t>047.28178</t>
  </si>
  <si>
    <t>cerradao com eucalipto / 12-15m eucalipto / ponto na borda a 10 m do eucalipto</t>
  </si>
  <si>
    <t>P145</t>
  </si>
  <si>
    <t>047.36430</t>
  </si>
  <si>
    <t>transicao cerradao para cerrado senso estrito / proximo a estrada de terra +- 15m</t>
  </si>
  <si>
    <t>20.80470</t>
  </si>
  <si>
    <t>047.36588</t>
  </si>
  <si>
    <t>transicao cerradao para cerrado senso estrito / borda de floresta com eucalipto +- 5m</t>
  </si>
  <si>
    <t>20.80287</t>
  </si>
  <si>
    <t>047.35813</t>
  </si>
  <si>
    <t>P013</t>
  </si>
  <si>
    <t>20.68538</t>
  </si>
  <si>
    <t>047.18901</t>
  </si>
  <si>
    <t xml:space="preserve">cerradao topo de morro com caraguatá e boi / emergentes 15m </t>
  </si>
  <si>
    <t>rastro de boi</t>
  </si>
  <si>
    <t>20.67730</t>
  </si>
  <si>
    <t>047.18070</t>
  </si>
  <si>
    <t xml:space="preserve">mesofila ao lado de cursa dágua / serrapilheira / degradado / descontinuo / trilha de boi / proximo a residencia </t>
  </si>
  <si>
    <t>20.67754</t>
  </si>
  <si>
    <t>047.19083</t>
  </si>
  <si>
    <t>mesofila proxima de rio / parte degradada / dossel descontinuo / emergentes 20m /</t>
  </si>
  <si>
    <t>boi / cavalo / cachorro</t>
  </si>
  <si>
    <t>P094</t>
  </si>
  <si>
    <t>20.73936</t>
  </si>
  <si>
    <t>047.33524</t>
  </si>
  <si>
    <t>mesofila de galeria/ perto de riacho</t>
  </si>
  <si>
    <t>20.74042</t>
  </si>
  <si>
    <t>047.34075</t>
  </si>
  <si>
    <t>cerradao preservado / perto de riacho pequeno / o lado de eucalipto</t>
  </si>
  <si>
    <t>20.74355</t>
  </si>
  <si>
    <t>047.33417</t>
  </si>
  <si>
    <t>fossado de tatu</t>
  </si>
  <si>
    <t>P015</t>
  </si>
  <si>
    <t>20.92410</t>
  </si>
  <si>
    <t>047.48651</t>
  </si>
  <si>
    <t xml:space="preserve">semidecidua muito degradada / dossel descontinuo </t>
  </si>
  <si>
    <t>059.028590</t>
  </si>
  <si>
    <t>20.92756</t>
  </si>
  <si>
    <t>047.48679</t>
  </si>
  <si>
    <t>app riparia com vegetacao de brejo/varzea / dossel descontinuo</t>
  </si>
  <si>
    <t>059.031069</t>
  </si>
  <si>
    <t>7.5</t>
  </si>
  <si>
    <t>20.92194</t>
  </si>
  <si>
    <t>047.47497</t>
  </si>
  <si>
    <t>reflorestamento app</t>
  </si>
  <si>
    <t>visualização e fezes veado-catingueiro</t>
  </si>
  <si>
    <t>P011</t>
  </si>
  <si>
    <t>20.83016</t>
  </si>
  <si>
    <t>047.53245</t>
  </si>
  <si>
    <t>mata mesofila semidecidual degradada / emergentes 15-20m / dossel descontinuo / muito cipo</t>
  </si>
  <si>
    <t>escarificaçção de sagui</t>
  </si>
  <si>
    <t>20.82955</t>
  </si>
  <si>
    <t>047.52499</t>
  </si>
  <si>
    <t>mata ciliar em regeneração / AF ao lado do rio com 8-10m de largura</t>
  </si>
  <si>
    <t>20.83284</t>
  </si>
  <si>
    <t>047.53115</t>
  </si>
  <si>
    <t>emergentes 19m / broto de cafe / dossel descontinuo</t>
  </si>
  <si>
    <t>P104</t>
  </si>
  <si>
    <t>17.5</t>
  </si>
  <si>
    <t>20.61386</t>
  </si>
  <si>
    <t>047.12337</t>
  </si>
  <si>
    <t>dossel descontinuo e bem conservada / pionus voando ao lado da AF</t>
  </si>
  <si>
    <t>20.61452</t>
  </si>
  <si>
    <t>047.11937</t>
  </si>
  <si>
    <t>dossel continuo e bem conservada / emergentes 25-30m</t>
  </si>
  <si>
    <t>20.61140</t>
  </si>
  <si>
    <t>047.12542</t>
  </si>
  <si>
    <t>super figueira ao lado da AF / declividade / preservada</t>
  </si>
  <si>
    <t>P070</t>
  </si>
  <si>
    <t>20.50522</t>
  </si>
  <si>
    <t>047.59155</t>
  </si>
  <si>
    <t>cerradao preservado / formigas nos galhos e arvores</t>
  </si>
  <si>
    <t>20.51409</t>
  </si>
  <si>
    <t>047.58578</t>
  </si>
  <si>
    <t>mata semidecidual já perdendo algumas folhas / solo vermelho com muita rocha / perto da agua / formigueiro perto da AF</t>
  </si>
  <si>
    <t>3B</t>
  </si>
  <si>
    <t>20.50430</t>
  </si>
  <si>
    <t>047.58618</t>
  </si>
  <si>
    <t>app em regeneração com capim exotico / jambolões plantados / barragens de agua abandonada / proximo da agua</t>
  </si>
  <si>
    <t>P127</t>
  </si>
  <si>
    <t>20.31382</t>
  </si>
  <si>
    <t>047.36857</t>
  </si>
  <si>
    <t>muito cipo / morro</t>
  </si>
  <si>
    <t>20.31250</t>
  </si>
  <si>
    <t>047.37632</t>
  </si>
  <si>
    <t>transicao app riparia e brejo/varzea / emergentes 15m / muita vegetacao de varzea</t>
  </si>
  <si>
    <t>20.31289</t>
  </si>
  <si>
    <t>047.37129</t>
  </si>
  <si>
    <t>dossel descontinuo / declividade alta / emergentes 20m</t>
  </si>
  <si>
    <t>P043</t>
  </si>
  <si>
    <t>20.38545</t>
  </si>
  <si>
    <t>047.32777</t>
  </si>
  <si>
    <t xml:space="preserve">mata filiforme / alma de gato (passaro) </t>
  </si>
  <si>
    <t>pegada de lebre na retirada da camera</t>
  </si>
  <si>
    <t>20.38112</t>
  </si>
  <si>
    <t>047.32829</t>
  </si>
  <si>
    <t>emergentes 20m</t>
  </si>
  <si>
    <t>cao domestico</t>
  </si>
  <si>
    <t>20.38209</t>
  </si>
  <si>
    <t>047.33089</t>
  </si>
  <si>
    <t>P146</t>
  </si>
  <si>
    <t>20.15082</t>
  </si>
  <si>
    <t>047.59838</t>
  </si>
  <si>
    <t>dossel descontinuo</t>
  </si>
  <si>
    <t>pegada de irara e jaritataca na estrada na retirada</t>
  </si>
  <si>
    <t>20.14971</t>
  </si>
  <si>
    <t>047.59476</t>
  </si>
  <si>
    <t>20.15366</t>
  </si>
  <si>
    <t>047.59628</t>
  </si>
  <si>
    <t>camera amostrando riacho / dossel descontinuo</t>
  </si>
  <si>
    <t>pegada de irara, jaritataca e tamandua(confirmar) na retirada</t>
  </si>
  <si>
    <t>P046</t>
  </si>
  <si>
    <t>20.16116</t>
  </si>
  <si>
    <t>047.66942</t>
  </si>
  <si>
    <t>mata degradada / dossel descontinuo / emergentes 15m / figueira</t>
  </si>
  <si>
    <t>vocalização de callithrix_sp / pegada de tamandua-bandeira e tatu-galinha na estrada na retirada</t>
  </si>
  <si>
    <t>20.15295</t>
  </si>
  <si>
    <t>047.66474</t>
  </si>
  <si>
    <t>dossel descontinuo / acesso por capim alto</t>
  </si>
  <si>
    <t>20.15926</t>
  </si>
  <si>
    <t>047.66246</t>
  </si>
  <si>
    <t>sem subbosque / emergentes 20-25m</t>
  </si>
  <si>
    <t>P148</t>
  </si>
  <si>
    <t>20.98403</t>
  </si>
  <si>
    <t>047.31364</t>
  </si>
  <si>
    <t>serrapilheira</t>
  </si>
  <si>
    <t>20.98593</t>
  </si>
  <si>
    <t>047.31920</t>
  </si>
  <si>
    <t>samambaias / direcionada para um riacho encaixado em pequeno vale</t>
  </si>
  <si>
    <t>arranhado de tamandua - foto</t>
  </si>
  <si>
    <t>cerrado</t>
  </si>
  <si>
    <t>20.98068</t>
  </si>
  <si>
    <t>047.31332</t>
  </si>
  <si>
    <t>cerrado senso estrito / emergentes 8m / ao lado de estrada de terra / aceiro eucalipto</t>
  </si>
  <si>
    <t>P130</t>
  </si>
  <si>
    <t>21.08516</t>
  </si>
  <si>
    <t>047.34714</t>
  </si>
  <si>
    <t>mata riparia tipica de cerrado / ao lado de um riacho / muita samambaia e aracea / solo turfoso</t>
  </si>
  <si>
    <t>arranhao de um mustelideo</t>
  </si>
  <si>
    <t>21.08566</t>
  </si>
  <si>
    <t>047.35125</t>
  </si>
  <si>
    <t>cerrado senso estrito / area bem aberta proximo ao eucalipto</t>
  </si>
  <si>
    <t>21.08210</t>
  </si>
  <si>
    <t>047.33976</t>
  </si>
  <si>
    <t>emergentes 10-12m</t>
  </si>
  <si>
    <t>fossado de tatu e javaporco</t>
  </si>
  <si>
    <t>P147</t>
  </si>
  <si>
    <t>21.58969</t>
  </si>
  <si>
    <t>047.83738</t>
  </si>
  <si>
    <t>emergentes 25m</t>
  </si>
  <si>
    <t>tinamideo próximo</t>
  </si>
  <si>
    <t>P138</t>
  </si>
  <si>
    <t>21.54643</t>
  </si>
  <si>
    <t>047.79984</t>
  </si>
  <si>
    <t>mesofila transicao decidua / emergentes 20-25m / dossel descontinuo degradado</t>
  </si>
  <si>
    <t>21.54798</t>
  </si>
  <si>
    <t>047.79156</t>
  </si>
  <si>
    <t>cerradao transicao mesofila / emergentes 20m / muito cipo / dossel descontinuo / caraguata</t>
  </si>
  <si>
    <t>21.54860</t>
  </si>
  <si>
    <t>047.79064</t>
  </si>
  <si>
    <t>cerradao transicao mesofila / um pouco mais fechado / cipo / area aberta</t>
  </si>
  <si>
    <t>P150</t>
  </si>
  <si>
    <t>21.60523</t>
  </si>
  <si>
    <t>047.75979</t>
  </si>
  <si>
    <t>vocalizacao saua</t>
  </si>
  <si>
    <t>21.60778</t>
  </si>
  <si>
    <t>047.76322</t>
  </si>
  <si>
    <t>cerrado senso estrito com capim exotico / dossel descontinuo</t>
  </si>
  <si>
    <t>pegada mazama e javaporco</t>
  </si>
  <si>
    <t>21.61075</t>
  </si>
  <si>
    <t>047.75850</t>
  </si>
  <si>
    <t>P137</t>
  </si>
  <si>
    <t>20.95741</t>
  </si>
  <si>
    <t>047.16829</t>
  </si>
  <si>
    <t>mata mesofila com dossel descontinuo</t>
  </si>
  <si>
    <t>20.95721</t>
  </si>
  <si>
    <t>047.17116</t>
  </si>
  <si>
    <t>20.96148</t>
  </si>
  <si>
    <t>047.17348</t>
  </si>
  <si>
    <t>P135</t>
  </si>
  <si>
    <t>21.21037</t>
  </si>
  <si>
    <t>047.06550</t>
  </si>
  <si>
    <t>21.20584</t>
  </si>
  <si>
    <t>047.07113</t>
  </si>
  <si>
    <t>mesofila preservada proximo a curso d'água / samambaias</t>
  </si>
  <si>
    <t>21.21492</t>
  </si>
  <si>
    <t>047.06573</t>
  </si>
  <si>
    <t>P142</t>
  </si>
  <si>
    <t>22.01859</t>
  </si>
  <si>
    <t>048.06312</t>
  </si>
  <si>
    <t>cerradao com goiabeiras e limão</t>
  </si>
  <si>
    <t>22.01304</t>
  </si>
  <si>
    <t>048.05836</t>
  </si>
  <si>
    <t>mesofila degradada / muita liana / dossel descontinuo</t>
  </si>
  <si>
    <t>22.01481</t>
  </si>
  <si>
    <t>048.06126</t>
  </si>
  <si>
    <t>cerradao degradado cheio de goiabeiras</t>
  </si>
  <si>
    <t>P131</t>
  </si>
  <si>
    <t>21.18563</t>
  </si>
  <si>
    <t>047.22568</t>
  </si>
  <si>
    <t>solo com muitas rochas</t>
  </si>
  <si>
    <t>boi / cachorro</t>
  </si>
  <si>
    <t>21.18308</t>
  </si>
  <si>
    <t>047.22032</t>
  </si>
  <si>
    <t>app riparia / mesofila / borda de pasto</t>
  </si>
  <si>
    <t>muita trilha de boi e cachorro</t>
  </si>
  <si>
    <t>21.18674</t>
  </si>
  <si>
    <t>047.22086</t>
  </si>
  <si>
    <t>app mesofila com samambaias e quaresmeiras / emergentes 15m / perto de cachoeirinha</t>
  </si>
  <si>
    <t>P111</t>
  </si>
  <si>
    <t>21.18493</t>
  </si>
  <si>
    <t>047.14350</t>
  </si>
  <si>
    <t>solo arenoso e claro</t>
  </si>
  <si>
    <t>21.17176</t>
  </si>
  <si>
    <t>047.14494</t>
  </si>
  <si>
    <t>prox de curso dagua</t>
  </si>
  <si>
    <t>3 arranhoes pouco profundos</t>
  </si>
  <si>
    <t>21.17492</t>
  </si>
  <si>
    <t>047.14362</t>
  </si>
  <si>
    <t>emergentes 25m / solo preto, molhado / app riparia</t>
  </si>
  <si>
    <t>P134</t>
  </si>
  <si>
    <t>21.81125</t>
  </si>
  <si>
    <t>047.80626</t>
  </si>
  <si>
    <t>prox. Brejo / emergentes 10m / atividade humana prox ao rio</t>
  </si>
  <si>
    <t>javali e capivara</t>
  </si>
  <si>
    <t>21.80482</t>
  </si>
  <si>
    <t>047.81006</t>
  </si>
  <si>
    <t>app riparia / brejo / muito degradada / emergentes 20m / dossel descontinuo</t>
  </si>
  <si>
    <t>boi / javali / macaco prego</t>
  </si>
  <si>
    <t>decidua</t>
  </si>
  <si>
    <t>21.81042</t>
  </si>
  <si>
    <t>047.81864</t>
  </si>
  <si>
    <t>degradada / dossel descontinuo / muito cipo</t>
  </si>
  <si>
    <t>P009</t>
  </si>
  <si>
    <t>059031067</t>
  </si>
  <si>
    <t>21.20505</t>
  </si>
  <si>
    <t>048.20357</t>
  </si>
  <si>
    <t>app riparia em regeneracao / antiga plantacao de eucalipto / solo encharcado / nascente proxima</t>
  </si>
  <si>
    <t>059028604</t>
  </si>
  <si>
    <t>21.20436</t>
  </si>
  <si>
    <t>048.19925</t>
  </si>
  <si>
    <t>app degradada com eucaliptos / riacho perto</t>
  </si>
  <si>
    <t>visualizacao macaco prego / carcaca de porco domestico</t>
  </si>
  <si>
    <t>059028607</t>
  </si>
  <si>
    <t>21.20538</t>
  </si>
  <si>
    <t>048.19288</t>
  </si>
  <si>
    <t>app riparia degradada / muito bambu / agua nas imediacoes</t>
  </si>
  <si>
    <t>P108</t>
  </si>
  <si>
    <t>059028606</t>
  </si>
  <si>
    <t>21.91124</t>
  </si>
  <si>
    <t>048.26903</t>
  </si>
  <si>
    <t>muito angico, em uma encosta com solo aflorado</t>
  </si>
  <si>
    <t>059028598</t>
  </si>
  <si>
    <t>21.90940</t>
  </si>
  <si>
    <t>048.25984</t>
  </si>
  <si>
    <t>parece transição cerradão (caraguatá) e mesófila, perto varzea, caixa de abelha abandonada perto</t>
  </si>
  <si>
    <t>059028596</t>
  </si>
  <si>
    <t>21.90670</t>
  </si>
  <si>
    <t>048.25770</t>
  </si>
  <si>
    <t>transição mesófila/cerradão, emergentes 20m, muita trilha erodida de moto e bicicleta (foto)</t>
  </si>
  <si>
    <t>P006</t>
  </si>
  <si>
    <t>059028601</t>
  </si>
  <si>
    <t>21.08277</t>
  </si>
  <si>
    <t>047.59609</t>
  </si>
  <si>
    <t>alto de morro, muito seco, muita pedra. Caraguatá, caixa de abelha perto</t>
  </si>
  <si>
    <t>059028602</t>
  </si>
  <si>
    <t>21.09046</t>
  </si>
  <si>
    <t>047.59980</t>
  </si>
  <si>
    <t>solo úmido com "gengibre"</t>
  </si>
  <si>
    <t>059028587</t>
  </si>
  <si>
    <t>21.08933</t>
  </si>
  <si>
    <t>047.60086</t>
  </si>
  <si>
    <t>com muito "gengibre"</t>
  </si>
  <si>
    <t>P021</t>
  </si>
  <si>
    <t>059028591</t>
  </si>
  <si>
    <t>20.42632</t>
  </si>
  <si>
    <t>048.07698</t>
  </si>
  <si>
    <t>solo escuro e molhado</t>
  </si>
  <si>
    <t>20.42219</t>
  </si>
  <si>
    <t>048.08419</t>
  </si>
  <si>
    <t>ao lado de córrego e com várias minas, sensor funcionando lentamente</t>
  </si>
  <si>
    <t>vocalização de sagui e troncos sujos de javali</t>
  </si>
  <si>
    <t>059028590</t>
  </si>
  <si>
    <t>20.42034</t>
  </si>
  <si>
    <t>048.08577</t>
  </si>
  <si>
    <t>próximo córrego</t>
  </si>
  <si>
    <t>P048</t>
  </si>
  <si>
    <t>20.58323</t>
  </si>
  <si>
    <t>048.68960</t>
  </si>
  <si>
    <t>mata muito degradada, com capim exótico, emergentes 20 mas sem dossel, sensor funciuonanendo lentamente</t>
  </si>
  <si>
    <t>059031069</t>
  </si>
  <si>
    <t>20.57966</t>
  </si>
  <si>
    <t>048.67546</t>
  </si>
  <si>
    <t>sem dossel, parece um reflorestamento com muito capim exótico, sensor funcionando lentamente, próximo várzea</t>
  </si>
  <si>
    <t>tocas velhas</t>
  </si>
  <si>
    <t>059031068</t>
  </si>
  <si>
    <t>20.58275</t>
  </si>
  <si>
    <t>048.67747</t>
  </si>
  <si>
    <t>sem dossel, reflorestamento, muito degradada. Jamelão ao lado da camera, emergentes 20, mas sem dossel</t>
  </si>
  <si>
    <t>P036</t>
  </si>
  <si>
    <t>059031066</t>
  </si>
  <si>
    <t>20.65414</t>
  </si>
  <si>
    <t>048.68321</t>
  </si>
  <si>
    <t>alto de morro, predominio de angicos, dossel descontínuo, marcas de fogo</t>
  </si>
  <si>
    <t>20.65731</t>
  </si>
  <si>
    <t>048.68097</t>
  </si>
  <si>
    <t>córrego estreito e muito limpo perto da câmera, com peixinhos, figueira enorme próxima</t>
  </si>
  <si>
    <t>pisados de javali</t>
  </si>
  <si>
    <t>059026608</t>
  </si>
  <si>
    <t>20.65704</t>
  </si>
  <si>
    <t>048.67402</t>
  </si>
  <si>
    <t>ao lado de seringal, peryo de riacho, cortaiuva</t>
  </si>
  <si>
    <t>marca de javali em árvore</t>
  </si>
  <si>
    <t>ID</t>
  </si>
  <si>
    <t>p003</t>
  </si>
  <si>
    <t>p006</t>
  </si>
  <si>
    <t>p009</t>
  </si>
  <si>
    <t>p010</t>
  </si>
  <si>
    <t>p011</t>
  </si>
  <si>
    <t>p013</t>
  </si>
  <si>
    <t>p015</t>
  </si>
  <si>
    <t>p020</t>
  </si>
  <si>
    <t>p021</t>
  </si>
  <si>
    <t>p027</t>
  </si>
  <si>
    <t>p034</t>
  </si>
  <si>
    <t>p036</t>
  </si>
  <si>
    <t>p040</t>
  </si>
  <si>
    <t>p043</t>
  </si>
  <si>
    <t>p046</t>
  </si>
  <si>
    <t>p048</t>
  </si>
  <si>
    <t>p059</t>
  </si>
  <si>
    <t>p064</t>
  </si>
  <si>
    <t>p065</t>
  </si>
  <si>
    <t>p070</t>
  </si>
  <si>
    <t>p074</t>
  </si>
  <si>
    <t>p075</t>
  </si>
  <si>
    <t>p079</t>
  </si>
  <si>
    <t>p081</t>
  </si>
  <si>
    <t>p085</t>
  </si>
  <si>
    <t>p090</t>
  </si>
  <si>
    <t>p094</t>
  </si>
  <si>
    <t>p096</t>
  </si>
  <si>
    <t>p099</t>
  </si>
  <si>
    <t>p100</t>
  </si>
  <si>
    <t>p103</t>
  </si>
  <si>
    <t>p104</t>
  </si>
  <si>
    <t>p108</t>
  </si>
  <si>
    <t>p111</t>
  </si>
  <si>
    <t>p114</t>
  </si>
  <si>
    <t>p116</t>
  </si>
  <si>
    <t>p118</t>
  </si>
  <si>
    <t>p126</t>
  </si>
  <si>
    <t>p127</t>
  </si>
  <si>
    <t>p128</t>
  </si>
  <si>
    <t>p130</t>
  </si>
  <si>
    <t>p131</t>
  </si>
  <si>
    <t>p134</t>
  </si>
  <si>
    <t>p135</t>
  </si>
  <si>
    <t>p136</t>
  </si>
  <si>
    <t>p137</t>
  </si>
  <si>
    <t>p138</t>
  </si>
  <si>
    <t>p140</t>
  </si>
  <si>
    <t>p142</t>
  </si>
  <si>
    <t>p145</t>
  </si>
  <si>
    <t>p146</t>
  </si>
  <si>
    <t>p147</t>
  </si>
  <si>
    <t>p148</t>
  </si>
  <si>
    <t>p150</t>
  </si>
  <si>
    <t>p151</t>
  </si>
  <si>
    <t>cana_300m</t>
  </si>
  <si>
    <t>agricultura_3000m</t>
  </si>
  <si>
    <t>floresta_3000m</t>
  </si>
  <si>
    <t>pastagem_3000m</t>
  </si>
  <si>
    <t>veg_herb_arb_3000m</t>
  </si>
  <si>
    <t>Código da Paisagem</t>
  </si>
  <si>
    <t>paisagem</t>
  </si>
  <si>
    <t>enn_mn_3000</t>
  </si>
  <si>
    <t>ndvi_vegnativa_3000m</t>
  </si>
  <si>
    <t>ndvi_cana_3000</t>
  </si>
  <si>
    <t>cana_3000m</t>
  </si>
  <si>
    <t>veg_herb_3000m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</si>
</sst>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1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  <font>
      <b/>
      <sz val="11"/>
      <color rgb="FFFFFFFF"/>
      <name val="Segoe UI"/>
    </font>
    <font>
      <sz val="10"/>
      <name val="Segoe UI"/>
    </font>
    <font>
      <b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E4620"/>
        <bgColor rgb="FF1E4620"/>
      </patternFill>
    </fill>
    <fill>
      <patternFill patternType="solid">
        <fgColor rgb="FFF4F7F4"/>
        <bgColor rgb="FFF4F7F4"/>
      </patternFill>
    </fill>
    <fill>
      <patternFill patternType="solid">
        <fgColor rgb="FFFFFFFF"/>
        <bgColor rgb="FFFFFFFF"/>
      </patternFill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20" fontId="0" fillId="2" borderId="0" xfId="0" applyNumberForma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20" fontId="0" fillId="3" borderId="0" xfId="0" applyNumberForma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3" borderId="0" xfId="0" applyFill="1"/>
    <xf numFmtId="0" fontId="7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/>
    </xf>
    <xf numFmtId="164" fontId="8" fillId="5" borderId="2" xfId="0" applyNumberFormat="1" applyFont="1" applyFill="1" applyBorder="1" applyAlignment="1">
      <alignment horizontal="right"/>
    </xf>
    <xf numFmtId="0" fontId="8" fillId="6" borderId="2" xfId="0" applyFont="1" applyFill="1" applyBorder="1" applyAlignment="1">
      <alignment horizontal="center"/>
    </xf>
    <xf numFmtId="164" fontId="8" fillId="6" borderId="2" xfId="0" applyNumberFormat="1" applyFont="1" applyFill="1" applyBorder="1" applyAlignment="1">
      <alignment horizontal="right"/>
    </xf>
    <xf numFmtId="0" fontId="9" fillId="7" borderId="3" xfId="0" applyFont="1" applyFill="1" applyBorder="1" applyAlignment="1">
      <alignment horizontal="center"/>
    </xf>
    <xf numFmtId="165" fontId="0" fillId="0" borderId="0" xfId="0" applyNumberFormat="1"/>
    <xf numFmtId="0" fontId="0" fillId="8" borderId="0" xfId="0" applyFill="1"/>
    <xf numFmtId="165" fontId="0" fillId="8" borderId="0" xfId="0" applyNumberFormat="1" applyFill="1"/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FC9A-40F3-40AA-9B32-AA114B119A1D}">
  <dimension ref="A1:Y163"/>
  <sheetViews>
    <sheetView tabSelected="1" topLeftCell="A98" workbookViewId="0">
      <selection activeCell="E122" sqref="E122"/>
    </sheetView>
  </sheetViews>
  <sheetFormatPr defaultColWidth="9.21875" defaultRowHeight="14.4" x14ac:dyDescent="0.3"/>
  <cols>
    <col min="1" max="1" width="6.21875" style="3" bestFit="1" customWidth="1"/>
    <col min="2" max="2" width="7.44140625" style="3" bestFit="1" customWidth="1"/>
    <col min="3" max="3" width="10.77734375" style="4" bestFit="1" customWidth="1"/>
    <col min="4" max="4" width="5.5546875" style="3" bestFit="1" customWidth="1"/>
    <col min="5" max="5" width="14.77734375" style="3" bestFit="1" customWidth="1"/>
    <col min="6" max="6" width="15" style="3" bestFit="1" customWidth="1"/>
    <col min="7" max="7" width="13.21875" style="3" bestFit="1" customWidth="1"/>
    <col min="8" max="8" width="12.77734375" style="3" bestFit="1" customWidth="1"/>
    <col min="9" max="9" width="13.21875" style="3" bestFit="1" customWidth="1"/>
    <col min="10" max="10" width="11.21875" style="3" bestFit="1" customWidth="1"/>
    <col min="11" max="11" width="7.77734375" style="3" bestFit="1" customWidth="1"/>
    <col min="12" max="12" width="15.77734375" style="3" bestFit="1" customWidth="1"/>
    <col min="13" max="13" width="17" style="3" bestFit="1" customWidth="1"/>
    <col min="14" max="15" width="9.5546875" style="4" bestFit="1" customWidth="1"/>
    <col min="16" max="16" width="109.44140625" style="3" bestFit="1" customWidth="1"/>
    <col min="17" max="17" width="45" style="3" bestFit="1" customWidth="1"/>
    <col min="18" max="16384" width="9.21875" style="3"/>
  </cols>
  <sheetData>
    <row r="1" spans="1:25" x14ac:dyDescent="0.3">
      <c r="A1" s="1" t="s">
        <v>692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1" t="s">
        <v>14</v>
      </c>
      <c r="Q1" s="1" t="s">
        <v>15</v>
      </c>
      <c r="R1" s="20" t="s">
        <v>749</v>
      </c>
      <c r="S1" s="20" t="s">
        <v>758</v>
      </c>
      <c r="T1" s="20" t="s">
        <v>750</v>
      </c>
      <c r="U1" s="20" t="s">
        <v>751</v>
      </c>
      <c r="V1" s="20" t="s">
        <v>759</v>
      </c>
      <c r="W1" s="3" t="s">
        <v>756</v>
      </c>
      <c r="X1" s="3" t="s">
        <v>757</v>
      </c>
      <c r="Y1" s="3" t="s">
        <v>755</v>
      </c>
    </row>
    <row r="2" spans="1:25" x14ac:dyDescent="0.3">
      <c r="A2" s="3" t="s">
        <v>100</v>
      </c>
      <c r="B2" s="3" t="s">
        <v>17</v>
      </c>
      <c r="C2" s="4" t="s">
        <v>101</v>
      </c>
      <c r="D2" s="3" t="s">
        <v>102</v>
      </c>
      <c r="E2" s="5">
        <v>42895</v>
      </c>
      <c r="F2" s="6">
        <v>0.49027777777777776</v>
      </c>
      <c r="G2" s="3">
        <v>99</v>
      </c>
      <c r="H2" s="5">
        <v>42922</v>
      </c>
      <c r="I2" s="6">
        <v>0.33541666666666664</v>
      </c>
      <c r="J2" s="3">
        <v>68</v>
      </c>
      <c r="K2" s="3">
        <v>252</v>
      </c>
      <c r="L2" s="3" t="s">
        <v>34</v>
      </c>
      <c r="M2" s="4" t="s">
        <v>35</v>
      </c>
      <c r="N2" s="4" t="s">
        <v>103</v>
      </c>
      <c r="O2" s="4" t="s">
        <v>104</v>
      </c>
      <c r="P2" s="7" t="s">
        <v>105</v>
      </c>
      <c r="Q2" s="3" t="s">
        <v>106</v>
      </c>
      <c r="R2" s="3">
        <f>VLOOKUP(A2,comp!A:F,2,FALSE)</f>
        <v>29.234672304439801</v>
      </c>
      <c r="S2" s="3">
        <f>VLOOKUP(A2,comp!A:F,3,FALSE)</f>
        <v>58.883720930232563</v>
      </c>
      <c r="T2" s="3">
        <f>VLOOKUP(A2,comp!A:F,4,FALSE)</f>
        <v>9.5870331219168428</v>
      </c>
      <c r="U2" s="3">
        <f>VLOOKUP(A2,comp!A:F,5,FALSE)</f>
        <v>1.9281183932346719</v>
      </c>
      <c r="V2" s="3">
        <f>VLOOKUP(A2,comp!A:F,6,FALSE)</f>
        <v>0.1014799154334038</v>
      </c>
      <c r="W2" s="3">
        <f>VLOOKUP(A2,ndvi_vegnativa!A:F,2,FALSE)</f>
        <v>0.82955160083549573</v>
      </c>
      <c r="X2" s="3">
        <f>VLOOKUP(A2,ndvi_cana!A:F,2,FALSE)</f>
        <v>0.50019547153438459</v>
      </c>
      <c r="Y2" s="3">
        <f>VLOOKUP(A2,fragmentos!A:F,2,FALSE)</f>
        <v>148.7810635147554</v>
      </c>
    </row>
    <row r="3" spans="1:25" x14ac:dyDescent="0.3">
      <c r="A3" s="3" t="s">
        <v>100</v>
      </c>
      <c r="B3" s="3" t="s">
        <v>24</v>
      </c>
      <c r="C3" s="4" t="s">
        <v>107</v>
      </c>
      <c r="D3" s="3" t="s">
        <v>108</v>
      </c>
      <c r="E3" s="5">
        <v>42895</v>
      </c>
      <c r="F3" s="6">
        <v>0.53333333333333333</v>
      </c>
      <c r="G3" s="3">
        <v>99</v>
      </c>
      <c r="H3" s="5">
        <v>42922</v>
      </c>
      <c r="I3" s="6">
        <v>0.3527777777777778</v>
      </c>
      <c r="J3" s="3">
        <v>68</v>
      </c>
      <c r="K3" s="3">
        <v>426</v>
      </c>
      <c r="L3" s="3" t="s">
        <v>34</v>
      </c>
      <c r="M3" s="4" t="s">
        <v>35</v>
      </c>
      <c r="N3" s="4" t="s">
        <v>109</v>
      </c>
      <c r="O3" s="4" t="s">
        <v>110</v>
      </c>
      <c r="P3" s="7" t="s">
        <v>111</v>
      </c>
      <c r="Q3" s="3" t="s">
        <v>112</v>
      </c>
      <c r="R3" s="3">
        <f>VLOOKUP(A3,comp!A:F,2,FALSE)</f>
        <v>29.234672304439801</v>
      </c>
      <c r="S3" s="3">
        <f>VLOOKUP(A3,comp!A:F,3,FALSE)</f>
        <v>58.883720930232563</v>
      </c>
      <c r="T3" s="3">
        <f>VLOOKUP(A3,comp!A:F,4,FALSE)</f>
        <v>9.5870331219168428</v>
      </c>
      <c r="U3" s="3">
        <f>VLOOKUP(A3,comp!A:F,5,FALSE)</f>
        <v>1.9281183932346719</v>
      </c>
      <c r="V3" s="3">
        <f>VLOOKUP(A3,comp!A:F,6,FALSE)</f>
        <v>0.1014799154334038</v>
      </c>
      <c r="W3" s="3">
        <f>VLOOKUP(A3,ndvi_vegnativa!A:F,2,FALSE)</f>
        <v>0.82955160083549573</v>
      </c>
      <c r="X3" s="3">
        <f>VLOOKUP(A3,ndvi_cana!A:F,2,FALSE)</f>
        <v>0.50019547153438459</v>
      </c>
      <c r="Y3" s="3">
        <f>VLOOKUP(A3,fragmentos!A:F,2,FALSE)</f>
        <v>148.7810635147554</v>
      </c>
    </row>
    <row r="4" spans="1:25" x14ac:dyDescent="0.3">
      <c r="A4" s="3" t="s">
        <v>100</v>
      </c>
      <c r="B4" s="3" t="s">
        <v>31</v>
      </c>
      <c r="C4" s="4" t="s">
        <v>113</v>
      </c>
      <c r="D4" s="3" t="s">
        <v>114</v>
      </c>
      <c r="E4" s="5">
        <v>42895</v>
      </c>
      <c r="F4" s="6">
        <v>0.55486111111111114</v>
      </c>
      <c r="G4" s="3">
        <v>99</v>
      </c>
      <c r="H4" s="5">
        <v>42922</v>
      </c>
      <c r="I4" s="6">
        <v>0.36388888888888887</v>
      </c>
      <c r="J4" s="3">
        <v>83</v>
      </c>
      <c r="K4" s="3">
        <v>329</v>
      </c>
      <c r="L4" s="3" t="s">
        <v>115</v>
      </c>
      <c r="M4" s="4" t="s">
        <v>116</v>
      </c>
      <c r="N4" s="4" t="s">
        <v>117</v>
      </c>
      <c r="O4" s="4" t="s">
        <v>118</v>
      </c>
      <c r="P4" s="7" t="s">
        <v>119</v>
      </c>
      <c r="Q4" s="3" t="s">
        <v>120</v>
      </c>
      <c r="R4" s="3">
        <f>VLOOKUP(A4,comp!A:F,2,FALSE)</f>
        <v>29.234672304439801</v>
      </c>
      <c r="S4" s="3">
        <f>VLOOKUP(A4,comp!A:F,3,FALSE)</f>
        <v>58.883720930232563</v>
      </c>
      <c r="T4" s="3">
        <f>VLOOKUP(A4,comp!A:F,4,FALSE)</f>
        <v>9.5870331219168428</v>
      </c>
      <c r="U4" s="3">
        <f>VLOOKUP(A4,comp!A:F,5,FALSE)</f>
        <v>1.9281183932346719</v>
      </c>
      <c r="V4" s="3">
        <f>VLOOKUP(A4,comp!A:F,6,FALSE)</f>
        <v>0.1014799154334038</v>
      </c>
      <c r="W4" s="3">
        <f>VLOOKUP(A4,ndvi_vegnativa!A:F,2,FALSE)</f>
        <v>0.82955160083549573</v>
      </c>
      <c r="X4" s="3">
        <f>VLOOKUP(A4,ndvi_cana!A:F,2,FALSE)</f>
        <v>0.50019547153438459</v>
      </c>
      <c r="Y4" s="3">
        <f>VLOOKUP(A4,fragmentos!A:F,2,FALSE)</f>
        <v>148.7810635147554</v>
      </c>
    </row>
    <row r="5" spans="1:25" x14ac:dyDescent="0.3">
      <c r="A5" s="3" t="s">
        <v>639</v>
      </c>
      <c r="B5" s="3" t="s">
        <v>17</v>
      </c>
      <c r="C5" s="4" t="s">
        <v>640</v>
      </c>
      <c r="D5" s="3" t="s">
        <v>151</v>
      </c>
      <c r="E5" s="5">
        <v>43354</v>
      </c>
      <c r="F5" s="6">
        <v>0.49652777777777779</v>
      </c>
      <c r="G5" s="3">
        <v>95</v>
      </c>
      <c r="H5" s="5">
        <v>43397</v>
      </c>
      <c r="I5" s="6">
        <v>0.46319444444444446</v>
      </c>
      <c r="J5" s="3" t="s">
        <v>163</v>
      </c>
      <c r="K5" s="3">
        <v>83</v>
      </c>
      <c r="L5" s="3" t="s">
        <v>608</v>
      </c>
      <c r="M5" s="3">
        <v>19</v>
      </c>
      <c r="N5" s="4" t="s">
        <v>641</v>
      </c>
      <c r="O5" s="4" t="s">
        <v>642</v>
      </c>
      <c r="P5" s="3" t="s">
        <v>643</v>
      </c>
      <c r="R5" s="3">
        <f>VLOOKUP(A5,comp!A:F,2,FALSE)</f>
        <v>18.718461928790909</v>
      </c>
      <c r="S5" s="3">
        <f>VLOOKUP(A5,comp!A:F,3,FALSE)</f>
        <v>62.946466326501827</v>
      </c>
      <c r="T5" s="3">
        <f>VLOOKUP(A5,comp!A:F,4,FALSE)</f>
        <v>10.261325515180561</v>
      </c>
      <c r="U5" s="3">
        <f>VLOOKUP(A5,comp!A:F,5,FALSE)</f>
        <v>7.9327939559665088</v>
      </c>
      <c r="V5" s="3">
        <f>VLOOKUP(A5,comp!A:F,6,FALSE)</f>
        <v>6.4838045837679353E-2</v>
      </c>
      <c r="W5" s="3">
        <f>VLOOKUP(A5,ndvi_vegnativa!A:F,2,FALSE)</f>
        <v>0.77417889530603101</v>
      </c>
      <c r="X5" s="3">
        <f>VLOOKUP(A5,ndvi_cana!A:F,2,FALSE)</f>
        <v>0.58468119434002119</v>
      </c>
      <c r="Y5" s="3">
        <f>VLOOKUP(A5,fragmentos!A:F,2,FALSE)</f>
        <v>154.97493330803709</v>
      </c>
    </row>
    <row r="6" spans="1:25" x14ac:dyDescent="0.3">
      <c r="A6" s="3" t="s">
        <v>639</v>
      </c>
      <c r="B6" s="3" t="s">
        <v>24</v>
      </c>
      <c r="C6" s="4" t="s">
        <v>644</v>
      </c>
      <c r="D6" s="3" t="s">
        <v>169</v>
      </c>
      <c r="E6" s="5">
        <v>43354</v>
      </c>
      <c r="F6" s="6">
        <v>0.59652777777777777</v>
      </c>
      <c r="G6" s="3">
        <v>97</v>
      </c>
      <c r="H6" s="5">
        <v>43397</v>
      </c>
      <c r="I6" s="6">
        <v>0.49375000000000002</v>
      </c>
      <c r="J6" s="3" t="s">
        <v>163</v>
      </c>
      <c r="K6" s="3">
        <v>465</v>
      </c>
      <c r="L6" s="3" t="s">
        <v>34</v>
      </c>
      <c r="M6" s="15">
        <v>19</v>
      </c>
      <c r="N6" s="4" t="s">
        <v>645</v>
      </c>
      <c r="O6" s="4" t="s">
        <v>646</v>
      </c>
      <c r="P6" s="3" t="s">
        <v>647</v>
      </c>
      <c r="R6" s="3">
        <f>VLOOKUP(A6,comp!A:F,2,FALSE)</f>
        <v>18.718461928790909</v>
      </c>
      <c r="S6" s="3">
        <f>VLOOKUP(A6,comp!A:F,3,FALSE)</f>
        <v>62.946466326501827</v>
      </c>
      <c r="T6" s="3">
        <f>VLOOKUP(A6,comp!A:F,4,FALSE)</f>
        <v>10.261325515180561</v>
      </c>
      <c r="U6" s="3">
        <f>VLOOKUP(A6,comp!A:F,5,FALSE)</f>
        <v>7.9327939559665088</v>
      </c>
      <c r="V6" s="3">
        <f>VLOOKUP(A6,comp!A:F,6,FALSE)</f>
        <v>6.4838045837679353E-2</v>
      </c>
      <c r="W6" s="3">
        <f>VLOOKUP(A6,ndvi_vegnativa!A:F,2,FALSE)</f>
        <v>0.77417889530603101</v>
      </c>
      <c r="X6" s="3">
        <f>VLOOKUP(A6,ndvi_cana!A:F,2,FALSE)</f>
        <v>0.58468119434002119</v>
      </c>
      <c r="Y6" s="3">
        <f>VLOOKUP(A6,fragmentos!A:F,2,FALSE)</f>
        <v>154.97493330803709</v>
      </c>
    </row>
    <row r="7" spans="1:25" ht="17.25" customHeight="1" x14ac:dyDescent="0.3">
      <c r="A7" s="3" t="s">
        <v>639</v>
      </c>
      <c r="B7" s="3" t="s">
        <v>31</v>
      </c>
      <c r="C7" s="4" t="s">
        <v>648</v>
      </c>
      <c r="D7" s="3" t="s">
        <v>269</v>
      </c>
      <c r="E7" s="5">
        <v>43354</v>
      </c>
      <c r="F7" s="6">
        <v>0.62013888888888891</v>
      </c>
      <c r="G7" s="3">
        <v>96</v>
      </c>
      <c r="H7" s="5">
        <v>43397</v>
      </c>
      <c r="I7" s="6">
        <v>0.48194444444444445</v>
      </c>
      <c r="J7" s="3" t="s">
        <v>163</v>
      </c>
      <c r="K7" s="3">
        <v>183</v>
      </c>
      <c r="L7" s="3" t="s">
        <v>34</v>
      </c>
      <c r="M7" s="15">
        <v>19</v>
      </c>
      <c r="N7" s="4" t="s">
        <v>649</v>
      </c>
      <c r="O7" s="4" t="s">
        <v>650</v>
      </c>
      <c r="P7" s="3" t="s">
        <v>651</v>
      </c>
      <c r="R7" s="3">
        <f>VLOOKUP(A7,comp!A:F,2,FALSE)</f>
        <v>18.718461928790909</v>
      </c>
      <c r="S7" s="3">
        <f>VLOOKUP(A7,comp!A:F,3,FALSE)</f>
        <v>62.946466326501827</v>
      </c>
      <c r="T7" s="3">
        <f>VLOOKUP(A7,comp!A:F,4,FALSE)</f>
        <v>10.261325515180561</v>
      </c>
      <c r="U7" s="3">
        <f>VLOOKUP(A7,comp!A:F,5,FALSE)</f>
        <v>7.9327939559665088</v>
      </c>
      <c r="V7" s="3">
        <f>VLOOKUP(A7,comp!A:F,6,FALSE)</f>
        <v>6.4838045837679353E-2</v>
      </c>
      <c r="W7" s="3">
        <f>VLOOKUP(A7,ndvi_vegnativa!A:F,2,FALSE)</f>
        <v>0.77417889530603101</v>
      </c>
      <c r="X7" s="3">
        <f>VLOOKUP(A7,ndvi_cana!A:F,2,FALSE)</f>
        <v>0.58468119434002119</v>
      </c>
      <c r="Y7" s="3">
        <f>VLOOKUP(A7,fragmentos!A:F,2,FALSE)</f>
        <v>154.97493330803709</v>
      </c>
    </row>
    <row r="8" spans="1:25" x14ac:dyDescent="0.3">
      <c r="A8" s="3" t="s">
        <v>612</v>
      </c>
      <c r="B8" s="3" t="s">
        <v>17</v>
      </c>
      <c r="C8" s="4" t="s">
        <v>613</v>
      </c>
      <c r="D8" s="3" t="s">
        <v>19</v>
      </c>
      <c r="E8" s="5">
        <v>43327</v>
      </c>
      <c r="F8" s="6">
        <v>0.72013888888888888</v>
      </c>
      <c r="G8" s="3">
        <v>99</v>
      </c>
      <c r="H8" s="5">
        <v>43327</v>
      </c>
      <c r="I8" s="6">
        <v>0.64236111111111116</v>
      </c>
      <c r="J8" s="3">
        <v>85</v>
      </c>
      <c r="K8" s="3">
        <v>11</v>
      </c>
      <c r="L8" s="3" t="s">
        <v>34</v>
      </c>
      <c r="M8" s="3">
        <v>25</v>
      </c>
      <c r="N8" s="4" t="s">
        <v>614</v>
      </c>
      <c r="O8" s="4" t="s">
        <v>615</v>
      </c>
      <c r="P8" s="3" t="s">
        <v>616</v>
      </c>
      <c r="R8" s="3">
        <f>VLOOKUP(A8,comp!A:F,2,FALSE)</f>
        <v>19.082786030385879</v>
      </c>
      <c r="S8" s="3">
        <f>VLOOKUP(A8,comp!A:F,3,FALSE)</f>
        <v>71.826817374637088</v>
      </c>
      <c r="T8" s="3">
        <f>VLOOKUP(A8,comp!A:F,4,FALSE)</f>
        <v>1.801166953237308</v>
      </c>
      <c r="U8" s="3">
        <f>VLOOKUP(A8,comp!A:F,5,FALSE)</f>
        <v>0.28187276263494648</v>
      </c>
      <c r="V8" s="3">
        <f>VLOOKUP(A8,comp!A:F,6,FALSE)</f>
        <v>4.3746652760943707</v>
      </c>
      <c r="W8" s="3">
        <f>VLOOKUP(A8,ndvi_vegnativa!A:F,2,FALSE)</f>
        <v>0.64742378539171563</v>
      </c>
      <c r="X8" s="3">
        <f>VLOOKUP(A8,ndvi_cana!A:F,2,FALSE)</f>
        <v>0.58366613450817628</v>
      </c>
      <c r="Y8" s="3">
        <f>VLOOKUP(A8,fragmentos!A:F,2,FALSE)</f>
        <v>158.0596445731949</v>
      </c>
    </row>
    <row r="9" spans="1:25" x14ac:dyDescent="0.3">
      <c r="A9" s="3" t="s">
        <v>612</v>
      </c>
      <c r="B9" s="3" t="s">
        <v>24</v>
      </c>
      <c r="C9" s="4" t="s">
        <v>617</v>
      </c>
      <c r="D9" s="3" t="s">
        <v>33</v>
      </c>
      <c r="E9" s="5">
        <v>43327</v>
      </c>
      <c r="F9" s="6">
        <v>0.74375000000000002</v>
      </c>
      <c r="G9" s="3">
        <v>93</v>
      </c>
      <c r="H9" s="5">
        <v>43327</v>
      </c>
      <c r="I9" s="6">
        <v>0.65625</v>
      </c>
      <c r="J9" s="3">
        <v>73</v>
      </c>
      <c r="K9" s="3">
        <v>197</v>
      </c>
      <c r="L9" s="3" t="s">
        <v>34</v>
      </c>
      <c r="M9" s="3">
        <v>20</v>
      </c>
      <c r="N9" s="4" t="s">
        <v>618</v>
      </c>
      <c r="O9" s="4" t="s">
        <v>619</v>
      </c>
      <c r="P9" s="3" t="s">
        <v>620</v>
      </c>
      <c r="Q9" s="3" t="s">
        <v>621</v>
      </c>
      <c r="R9" s="3">
        <f>VLOOKUP(A9,comp!A:F,2,FALSE)</f>
        <v>19.082786030385879</v>
      </c>
      <c r="S9" s="3">
        <f>VLOOKUP(A9,comp!A:F,3,FALSE)</f>
        <v>71.826817374637088</v>
      </c>
      <c r="T9" s="3">
        <f>VLOOKUP(A9,comp!A:F,4,FALSE)</f>
        <v>1.801166953237308</v>
      </c>
      <c r="U9" s="3">
        <f>VLOOKUP(A9,comp!A:F,5,FALSE)</f>
        <v>0.28187276263494648</v>
      </c>
      <c r="V9" s="3">
        <f>VLOOKUP(A9,comp!A:F,6,FALSE)</f>
        <v>4.3746652760943707</v>
      </c>
      <c r="W9" s="3">
        <f>VLOOKUP(A9,ndvi_vegnativa!A:F,2,FALSE)</f>
        <v>0.64742378539171563</v>
      </c>
      <c r="X9" s="3">
        <f>VLOOKUP(A9,ndvi_cana!A:F,2,FALSE)</f>
        <v>0.58366613450817628</v>
      </c>
      <c r="Y9" s="3">
        <f>VLOOKUP(A9,fragmentos!A:F,2,FALSE)</f>
        <v>158.0596445731949</v>
      </c>
    </row>
    <row r="10" spans="1:25" x14ac:dyDescent="0.3">
      <c r="A10" s="3" t="s">
        <v>612</v>
      </c>
      <c r="B10" s="3" t="s">
        <v>31</v>
      </c>
      <c r="C10" s="4" t="s">
        <v>622</v>
      </c>
      <c r="D10" s="3" t="s">
        <v>89</v>
      </c>
      <c r="E10" s="5">
        <v>43327</v>
      </c>
      <c r="F10" s="6">
        <v>0.75763888888888886</v>
      </c>
      <c r="G10" s="3">
        <v>87</v>
      </c>
      <c r="H10" s="5">
        <v>43327</v>
      </c>
      <c r="I10" s="6">
        <v>0.67777777777777781</v>
      </c>
      <c r="J10" s="3">
        <v>84</v>
      </c>
      <c r="K10" s="3">
        <v>108</v>
      </c>
      <c r="L10" s="3" t="s">
        <v>34</v>
      </c>
      <c r="M10" s="3">
        <v>4</v>
      </c>
      <c r="N10" s="4" t="s">
        <v>623</v>
      </c>
      <c r="O10" s="4" t="s">
        <v>624</v>
      </c>
      <c r="P10" s="3" t="s">
        <v>625</v>
      </c>
      <c r="R10" s="3">
        <f>VLOOKUP(A10,comp!A:F,2,FALSE)</f>
        <v>19.082786030385879</v>
      </c>
      <c r="S10" s="3">
        <f>VLOOKUP(A10,comp!A:F,3,FALSE)</f>
        <v>71.826817374637088</v>
      </c>
      <c r="T10" s="3">
        <f>VLOOKUP(A10,comp!A:F,4,FALSE)</f>
        <v>1.801166953237308</v>
      </c>
      <c r="U10" s="3">
        <f>VLOOKUP(A10,comp!A:F,5,FALSE)</f>
        <v>0.28187276263494648</v>
      </c>
      <c r="V10" s="3">
        <f>VLOOKUP(A10,comp!A:F,6,FALSE)</f>
        <v>4.3746652760943707</v>
      </c>
      <c r="W10" s="3">
        <f>VLOOKUP(A10,ndvi_vegnativa!A:F,2,FALSE)</f>
        <v>0.64742378539171563</v>
      </c>
      <c r="X10" s="3">
        <f>VLOOKUP(A10,ndvi_cana!A:F,2,FALSE)</f>
        <v>0.58366613450817628</v>
      </c>
      <c r="Y10" s="3">
        <f>VLOOKUP(A10,fragmentos!A:F,2,FALSE)</f>
        <v>158.0596445731949</v>
      </c>
    </row>
    <row r="11" spans="1:25" x14ac:dyDescent="0.3">
      <c r="A11" s="3" t="s">
        <v>16</v>
      </c>
      <c r="B11" s="3" t="s">
        <v>17</v>
      </c>
      <c r="C11" s="4" t="s">
        <v>18</v>
      </c>
      <c r="D11" s="4" t="s">
        <v>19</v>
      </c>
      <c r="E11" s="5">
        <v>42891</v>
      </c>
      <c r="F11" s="6">
        <v>0.53333333333333333</v>
      </c>
      <c r="G11" s="3">
        <v>99</v>
      </c>
      <c r="H11" s="5">
        <v>42919</v>
      </c>
      <c r="I11" s="6">
        <v>0.38333333333333336</v>
      </c>
      <c r="J11" s="3">
        <v>81</v>
      </c>
      <c r="K11" s="3">
        <v>102</v>
      </c>
      <c r="L11" s="3" t="s">
        <v>20</v>
      </c>
      <c r="M11" s="4">
        <v>20</v>
      </c>
      <c r="N11" s="4" t="s">
        <v>21</v>
      </c>
      <c r="O11" s="4" t="s">
        <v>22</v>
      </c>
      <c r="P11" s="7" t="s">
        <v>23</v>
      </c>
      <c r="R11" s="3">
        <f>VLOOKUP(A11,comp!A:F,2,FALSE)</f>
        <v>56.627864370472672</v>
      </c>
      <c r="S11" s="3">
        <f>VLOOKUP(A11,comp!A:F,3,FALSE)</f>
        <v>33.13509399926717</v>
      </c>
      <c r="T11" s="3">
        <f>VLOOKUP(A11,comp!A:F,4,FALSE)</f>
        <v>4.8817610417430028</v>
      </c>
      <c r="U11" s="3">
        <f>VLOOKUP(A11,comp!A:F,5,FALSE)</f>
        <v>3.2695397277262601</v>
      </c>
      <c r="V11" s="3">
        <f>VLOOKUP(A11,comp!A:F,6,FALSE)</f>
        <v>0.13810986780912651</v>
      </c>
      <c r="W11" s="3">
        <f>VLOOKUP(A11,ndvi_vegnativa!A:F,2,FALSE)</f>
        <v>0.79797654356007774</v>
      </c>
      <c r="X11" s="3">
        <f>VLOOKUP(A11,ndvi_cana!A:F,2,FALSE)</f>
        <v>0.56314176526114912</v>
      </c>
      <c r="Y11" s="3">
        <f>VLOOKUP(A11,fragmentos!A:F,2,FALSE)</f>
        <v>171.47331994699601</v>
      </c>
    </row>
    <row r="12" spans="1:25" x14ac:dyDescent="0.3">
      <c r="A12" s="3" t="s">
        <v>16</v>
      </c>
      <c r="B12" s="3" t="s">
        <v>24</v>
      </c>
      <c r="C12" s="4" t="s">
        <v>25</v>
      </c>
      <c r="D12" s="4" t="s">
        <v>26</v>
      </c>
      <c r="E12" s="5">
        <v>42891</v>
      </c>
      <c r="F12" s="6">
        <v>0.57013888888888886</v>
      </c>
      <c r="G12" s="3">
        <v>97</v>
      </c>
      <c r="H12" s="5">
        <v>42919</v>
      </c>
      <c r="I12" s="6">
        <v>0.40347222222222223</v>
      </c>
      <c r="J12" s="3">
        <v>79</v>
      </c>
      <c r="K12" s="3">
        <v>112</v>
      </c>
      <c r="L12" s="3" t="s">
        <v>27</v>
      </c>
      <c r="M12" s="4" t="s">
        <v>28</v>
      </c>
      <c r="N12" s="4" t="s">
        <v>29</v>
      </c>
      <c r="O12" s="4" t="s">
        <v>30</v>
      </c>
      <c r="R12" s="3">
        <f>VLOOKUP(A12,comp!A:F,2,FALSE)</f>
        <v>56.627864370472672</v>
      </c>
      <c r="S12" s="3">
        <f>VLOOKUP(A12,comp!A:F,3,FALSE)</f>
        <v>33.13509399926717</v>
      </c>
      <c r="T12" s="3">
        <f>VLOOKUP(A12,comp!A:F,4,FALSE)</f>
        <v>4.8817610417430028</v>
      </c>
      <c r="U12" s="3">
        <f>VLOOKUP(A12,comp!A:F,5,FALSE)</f>
        <v>3.2695397277262601</v>
      </c>
      <c r="V12" s="3">
        <f>VLOOKUP(A12,comp!A:F,6,FALSE)</f>
        <v>0.13810986780912651</v>
      </c>
      <c r="W12" s="3">
        <f>VLOOKUP(A12,ndvi_vegnativa!A:F,2,FALSE)</f>
        <v>0.79797654356007774</v>
      </c>
      <c r="X12" s="3">
        <f>VLOOKUP(A12,ndvi_cana!A:F,2,FALSE)</f>
        <v>0.56314176526114912</v>
      </c>
      <c r="Y12" s="3">
        <f>VLOOKUP(A12,fragmentos!A:F,2,FALSE)</f>
        <v>171.47331994699601</v>
      </c>
    </row>
    <row r="13" spans="1:25" x14ac:dyDescent="0.3">
      <c r="A13" s="3" t="s">
        <v>16</v>
      </c>
      <c r="B13" s="3" t="s">
        <v>31</v>
      </c>
      <c r="C13" s="4" t="s">
        <v>32</v>
      </c>
      <c r="D13" s="4" t="s">
        <v>33</v>
      </c>
      <c r="E13" s="5">
        <v>42891</v>
      </c>
      <c r="F13" s="6">
        <v>0.39513888888888887</v>
      </c>
      <c r="G13" s="3">
        <v>99</v>
      </c>
      <c r="H13" s="5">
        <v>42919</v>
      </c>
      <c r="I13" s="6">
        <v>0.40833333333333333</v>
      </c>
      <c r="J13" s="3">
        <v>82</v>
      </c>
      <c r="K13" s="3">
        <v>114</v>
      </c>
      <c r="L13" s="3" t="s">
        <v>34</v>
      </c>
      <c r="M13" s="4" t="s">
        <v>35</v>
      </c>
      <c r="N13" s="4" t="s">
        <v>36</v>
      </c>
      <c r="O13" s="4" t="s">
        <v>37</v>
      </c>
      <c r="P13" s="7" t="s">
        <v>38</v>
      </c>
      <c r="R13" s="3">
        <f>VLOOKUP(A13,comp!A:F,2,FALSE)</f>
        <v>56.627864370472672</v>
      </c>
      <c r="S13" s="3">
        <f>VLOOKUP(A13,comp!A:F,3,FALSE)</f>
        <v>33.13509399926717</v>
      </c>
      <c r="T13" s="3">
        <f>VLOOKUP(A13,comp!A:F,4,FALSE)</f>
        <v>4.8817610417430028</v>
      </c>
      <c r="U13" s="3">
        <f>VLOOKUP(A13,comp!A:F,5,FALSE)</f>
        <v>3.2695397277262601</v>
      </c>
      <c r="V13" s="3">
        <f>VLOOKUP(A13,comp!A:F,6,FALSE)</f>
        <v>0.13810986780912651</v>
      </c>
      <c r="W13" s="3">
        <f>VLOOKUP(A13,ndvi_vegnativa!A:F,2,FALSE)</f>
        <v>0.79797654356007774</v>
      </c>
      <c r="X13" s="3">
        <f>VLOOKUP(A13,ndvi_cana!A:F,2,FALSE)</f>
        <v>0.56314176526114912</v>
      </c>
      <c r="Y13" s="3">
        <f>VLOOKUP(A13,fragmentos!A:F,2,FALSE)</f>
        <v>171.47331994699601</v>
      </c>
    </row>
    <row r="14" spans="1:25" x14ac:dyDescent="0.3">
      <c r="A14" s="3" t="s">
        <v>425</v>
      </c>
      <c r="B14" s="3" t="s">
        <v>17</v>
      </c>
      <c r="C14" s="4" t="s">
        <v>46</v>
      </c>
      <c r="D14" s="3" t="s">
        <v>169</v>
      </c>
      <c r="E14" s="5">
        <v>43223</v>
      </c>
      <c r="F14" s="6">
        <v>0.37152777777777779</v>
      </c>
      <c r="G14" s="3">
        <v>97</v>
      </c>
      <c r="H14" s="5">
        <v>43263</v>
      </c>
      <c r="I14" s="6">
        <v>0.6791666666666667</v>
      </c>
      <c r="J14" s="3">
        <v>80</v>
      </c>
      <c r="K14" s="3">
        <v>118</v>
      </c>
      <c r="L14" s="3" t="s">
        <v>123</v>
      </c>
      <c r="M14" s="4" t="s">
        <v>420</v>
      </c>
      <c r="N14" s="4" t="s">
        <v>426</v>
      </c>
      <c r="O14" s="4" t="s">
        <v>427</v>
      </c>
      <c r="P14" s="3" t="s">
        <v>428</v>
      </c>
      <c r="Q14" s="3" t="s">
        <v>429</v>
      </c>
      <c r="R14" s="3">
        <f>VLOOKUP(A14,comp!A:F,2,FALSE)</f>
        <v>29.412759719207241</v>
      </c>
      <c r="S14" s="3">
        <f>VLOOKUP(A14,comp!A:F,3,FALSE)</f>
        <v>49.925291082856418</v>
      </c>
      <c r="T14" s="3">
        <f>VLOOKUP(A14,comp!A:F,4,FALSE)</f>
        <v>15.91440895379324</v>
      </c>
      <c r="U14" s="3">
        <f>VLOOKUP(A14,comp!A:F,5,FALSE)</f>
        <v>4.2175298130867471</v>
      </c>
      <c r="V14" s="3">
        <f>VLOOKUP(A14,comp!A:F,6,FALSE)</f>
        <v>0.36085816582560398</v>
      </c>
      <c r="W14" s="3">
        <f>VLOOKUP(A14,ndvi_vegnativa!A:F,2,FALSE)</f>
        <v>0.79507342103381451</v>
      </c>
      <c r="X14" s="3">
        <f>VLOOKUP(A14,ndvi_cana!A:F,2,FALSE)</f>
        <v>0.66780352879638227</v>
      </c>
      <c r="Y14" s="3">
        <f>VLOOKUP(A14,fragmentos!A:F,2,FALSE)</f>
        <v>137.032216530515</v>
      </c>
    </row>
    <row r="15" spans="1:25" x14ac:dyDescent="0.3">
      <c r="A15" s="3" t="s">
        <v>425</v>
      </c>
      <c r="B15" s="3" t="s">
        <v>24</v>
      </c>
      <c r="C15" s="4" t="s">
        <v>342</v>
      </c>
      <c r="D15" s="3" t="s">
        <v>277</v>
      </c>
      <c r="E15" s="5">
        <v>43223</v>
      </c>
      <c r="F15" s="6">
        <v>0.46319444444444446</v>
      </c>
      <c r="G15" s="3">
        <v>94</v>
      </c>
      <c r="H15" s="5">
        <v>43263</v>
      </c>
      <c r="I15" s="6">
        <v>0.70763888888888893</v>
      </c>
      <c r="J15" s="3">
        <v>63</v>
      </c>
      <c r="K15" s="3">
        <v>1971</v>
      </c>
      <c r="L15" s="3" t="s">
        <v>34</v>
      </c>
      <c r="M15" s="4" t="s">
        <v>147</v>
      </c>
      <c r="N15" s="4" t="s">
        <v>430</v>
      </c>
      <c r="O15" s="4" t="s">
        <v>431</v>
      </c>
      <c r="P15" s="3" t="s">
        <v>432</v>
      </c>
      <c r="Q15" s="3" t="s">
        <v>393</v>
      </c>
      <c r="R15" s="3">
        <f>VLOOKUP(A15,comp!A:F,2,FALSE)</f>
        <v>29.412759719207241</v>
      </c>
      <c r="S15" s="3">
        <f>VLOOKUP(A15,comp!A:F,3,FALSE)</f>
        <v>49.925291082856418</v>
      </c>
      <c r="T15" s="3">
        <f>VLOOKUP(A15,comp!A:F,4,FALSE)</f>
        <v>15.91440895379324</v>
      </c>
      <c r="U15" s="3">
        <f>VLOOKUP(A15,comp!A:F,5,FALSE)</f>
        <v>4.2175298130867471</v>
      </c>
      <c r="V15" s="3">
        <f>VLOOKUP(A15,comp!A:F,6,FALSE)</f>
        <v>0.36085816582560398</v>
      </c>
      <c r="W15" s="3">
        <f>VLOOKUP(A15,ndvi_vegnativa!A:F,2,FALSE)</f>
        <v>0.79507342103381451</v>
      </c>
      <c r="X15" s="3">
        <f>VLOOKUP(A15,ndvi_cana!A:F,2,FALSE)</f>
        <v>0.66780352879638227</v>
      </c>
      <c r="Y15" s="3">
        <f>VLOOKUP(A15,fragmentos!A:F,2,FALSE)</f>
        <v>137.032216530515</v>
      </c>
    </row>
    <row r="16" spans="1:25" x14ac:dyDescent="0.3">
      <c r="A16" s="3" t="s">
        <v>425</v>
      </c>
      <c r="B16" s="3" t="s">
        <v>31</v>
      </c>
      <c r="C16" s="4" t="s">
        <v>32</v>
      </c>
      <c r="D16" s="3" t="s">
        <v>269</v>
      </c>
      <c r="E16" s="5">
        <v>43223</v>
      </c>
      <c r="F16" s="6">
        <v>0.60416666666666663</v>
      </c>
      <c r="G16" s="3">
        <v>95</v>
      </c>
      <c r="H16" s="5">
        <v>43263</v>
      </c>
      <c r="I16" s="6">
        <v>0.68819444444444444</v>
      </c>
      <c r="J16" s="3">
        <v>80</v>
      </c>
      <c r="K16" s="3">
        <v>238</v>
      </c>
      <c r="L16" s="3" t="s">
        <v>123</v>
      </c>
      <c r="M16" s="4" t="s">
        <v>147</v>
      </c>
      <c r="N16" s="4" t="s">
        <v>433</v>
      </c>
      <c r="O16" s="4" t="s">
        <v>434</v>
      </c>
      <c r="P16" s="3" t="s">
        <v>435</v>
      </c>
      <c r="R16" s="3">
        <f>VLOOKUP(A16,comp!A:F,2,FALSE)</f>
        <v>29.412759719207241</v>
      </c>
      <c r="S16" s="3">
        <f>VLOOKUP(A16,comp!A:F,3,FALSE)</f>
        <v>49.925291082856418</v>
      </c>
      <c r="T16" s="3">
        <f>VLOOKUP(A16,comp!A:F,4,FALSE)</f>
        <v>15.91440895379324</v>
      </c>
      <c r="U16" s="3">
        <f>VLOOKUP(A16,comp!A:F,5,FALSE)</f>
        <v>4.2175298130867471</v>
      </c>
      <c r="V16" s="3">
        <f>VLOOKUP(A16,comp!A:F,6,FALSE)</f>
        <v>0.36085816582560398</v>
      </c>
      <c r="W16" s="3">
        <f>VLOOKUP(A16,ndvi_vegnativa!A:F,2,FALSE)</f>
        <v>0.79507342103381451</v>
      </c>
      <c r="X16" s="3">
        <f>VLOOKUP(A16,ndvi_cana!A:F,2,FALSE)</f>
        <v>0.66780352879638227</v>
      </c>
      <c r="Y16" s="3">
        <f>VLOOKUP(A16,fragmentos!A:F,2,FALSE)</f>
        <v>137.032216530515</v>
      </c>
    </row>
    <row r="17" spans="1:25" x14ac:dyDescent="0.3">
      <c r="A17" s="3" t="s">
        <v>389</v>
      </c>
      <c r="B17" s="3" t="s">
        <v>17</v>
      </c>
      <c r="C17" s="4" t="s">
        <v>88</v>
      </c>
      <c r="D17" s="3" t="s">
        <v>47</v>
      </c>
      <c r="E17" s="5">
        <v>43195</v>
      </c>
      <c r="F17" s="6">
        <v>0.45763888888888887</v>
      </c>
      <c r="G17" s="3">
        <v>99</v>
      </c>
      <c r="H17" s="5">
        <v>43228</v>
      </c>
      <c r="I17" s="6">
        <v>0.67500000000000004</v>
      </c>
      <c r="J17" s="3">
        <v>85</v>
      </c>
      <c r="K17" s="3">
        <v>168</v>
      </c>
      <c r="L17" s="3" t="s">
        <v>83</v>
      </c>
      <c r="M17" s="4" t="s">
        <v>264</v>
      </c>
      <c r="N17" s="4" t="s">
        <v>390</v>
      </c>
      <c r="O17" s="4" t="s">
        <v>391</v>
      </c>
      <c r="P17" s="3" t="s">
        <v>392</v>
      </c>
      <c r="Q17" s="3" t="s">
        <v>393</v>
      </c>
      <c r="R17" s="3">
        <f>VLOOKUP(A17,comp!A:F,2,FALSE)</f>
        <v>55.055514850927118</v>
      </c>
      <c r="S17" s="3">
        <f>VLOOKUP(A17,comp!A:F,3,FALSE)</f>
        <v>8.0369723271149187</v>
      </c>
      <c r="T17" s="3">
        <f>VLOOKUP(A17,comp!A:F,4,FALSE)</f>
        <v>12.82477596798738</v>
      </c>
      <c r="U17" s="3">
        <f>VLOOKUP(A17,comp!A:F,5,FALSE)</f>
        <v>22.772360931071411</v>
      </c>
      <c r="V17" s="3">
        <f>VLOOKUP(A17,comp!A:F,6,FALSE)</f>
        <v>0</v>
      </c>
      <c r="W17" s="3">
        <f>VLOOKUP(A17,ndvi_vegnativa!A:F,2,FALSE)</f>
        <v>0.83003472758219787</v>
      </c>
      <c r="X17" s="3">
        <f>VLOOKUP(A17,ndvi_cana!A:F,2,FALSE)</f>
        <v>0.63405668726399733</v>
      </c>
      <c r="Y17" s="3">
        <f>VLOOKUP(A17,fragmentos!A:F,2,FALSE)</f>
        <v>149.96064668535081</v>
      </c>
    </row>
    <row r="18" spans="1:25" x14ac:dyDescent="0.3">
      <c r="A18" s="3" t="s">
        <v>389</v>
      </c>
      <c r="B18" s="3" t="s">
        <v>24</v>
      </c>
      <c r="C18" s="4" t="s">
        <v>68</v>
      </c>
      <c r="D18" s="3" t="s">
        <v>62</v>
      </c>
      <c r="E18" s="5">
        <v>43195</v>
      </c>
      <c r="F18" s="6">
        <v>0.56041666666666667</v>
      </c>
      <c r="G18" s="3">
        <v>99</v>
      </c>
      <c r="H18" s="5">
        <v>43228</v>
      </c>
      <c r="I18" s="6">
        <v>0.66180555555555554</v>
      </c>
      <c r="J18" s="3">
        <v>85</v>
      </c>
      <c r="K18" s="3">
        <v>191</v>
      </c>
      <c r="L18" s="3" t="s">
        <v>123</v>
      </c>
      <c r="M18" s="4" t="s">
        <v>152</v>
      </c>
      <c r="N18" s="4" t="s">
        <v>394</v>
      </c>
      <c r="O18" s="4" t="s">
        <v>395</v>
      </c>
      <c r="P18" s="3" t="s">
        <v>396</v>
      </c>
      <c r="R18" s="3">
        <f>VLOOKUP(A18,comp!A:F,2,FALSE)</f>
        <v>55.055514850927118</v>
      </c>
      <c r="S18" s="3">
        <f>VLOOKUP(A18,comp!A:F,3,FALSE)</f>
        <v>8.0369723271149187</v>
      </c>
      <c r="T18" s="3">
        <f>VLOOKUP(A18,comp!A:F,4,FALSE)</f>
        <v>12.82477596798738</v>
      </c>
      <c r="U18" s="3">
        <f>VLOOKUP(A18,comp!A:F,5,FALSE)</f>
        <v>22.772360931071411</v>
      </c>
      <c r="V18" s="3">
        <f>VLOOKUP(A18,comp!A:F,6,FALSE)</f>
        <v>0</v>
      </c>
      <c r="W18" s="3">
        <f>VLOOKUP(A18,ndvi_vegnativa!A:F,2,FALSE)</f>
        <v>0.83003472758219787</v>
      </c>
      <c r="X18" s="3">
        <f>VLOOKUP(A18,ndvi_cana!A:F,2,FALSE)</f>
        <v>0.63405668726399733</v>
      </c>
      <c r="Y18" s="3">
        <f>VLOOKUP(A18,fragmentos!A:F,2,FALSE)</f>
        <v>149.96064668535081</v>
      </c>
    </row>
    <row r="19" spans="1:25" x14ac:dyDescent="0.3">
      <c r="A19" s="3" t="s">
        <v>389</v>
      </c>
      <c r="B19" s="3" t="s">
        <v>31</v>
      </c>
      <c r="C19" s="4" t="s">
        <v>18</v>
      </c>
      <c r="D19" s="3" t="s">
        <v>26</v>
      </c>
      <c r="E19" s="5">
        <v>43195</v>
      </c>
      <c r="F19" s="6">
        <v>0.64166666666666672</v>
      </c>
      <c r="G19" s="3">
        <v>99</v>
      </c>
      <c r="H19" s="5">
        <v>43228</v>
      </c>
      <c r="I19" s="6">
        <v>0.69513888888888886</v>
      </c>
      <c r="J19" s="3">
        <v>81</v>
      </c>
      <c r="K19" s="3">
        <v>177</v>
      </c>
      <c r="L19" s="3" t="s">
        <v>123</v>
      </c>
      <c r="M19" s="4" t="s">
        <v>84</v>
      </c>
      <c r="N19" s="4" t="s">
        <v>397</v>
      </c>
      <c r="O19" s="4" t="s">
        <v>398</v>
      </c>
      <c r="P19" s="3" t="s">
        <v>399</v>
      </c>
      <c r="Q19" s="3" t="s">
        <v>400</v>
      </c>
      <c r="R19" s="3">
        <f>VLOOKUP(A19,comp!A:F,2,FALSE)</f>
        <v>55.055514850927118</v>
      </c>
      <c r="S19" s="3">
        <f>VLOOKUP(A19,comp!A:F,3,FALSE)</f>
        <v>8.0369723271149187</v>
      </c>
      <c r="T19" s="3">
        <f>VLOOKUP(A19,comp!A:F,4,FALSE)</f>
        <v>12.82477596798738</v>
      </c>
      <c r="U19" s="3">
        <f>VLOOKUP(A19,comp!A:F,5,FALSE)</f>
        <v>22.772360931071411</v>
      </c>
      <c r="V19" s="3">
        <f>VLOOKUP(A19,comp!A:F,6,FALSE)</f>
        <v>0</v>
      </c>
      <c r="W19" s="3">
        <f>VLOOKUP(A19,ndvi_vegnativa!A:F,2,FALSE)</f>
        <v>0.83003472758219787</v>
      </c>
      <c r="X19" s="3">
        <f>VLOOKUP(A19,ndvi_cana!A:F,2,FALSE)</f>
        <v>0.63405668726399733</v>
      </c>
      <c r="Y19" s="3">
        <f>VLOOKUP(A19,fragmentos!A:F,2,FALSE)</f>
        <v>149.96064668535081</v>
      </c>
    </row>
    <row r="20" spans="1:25" x14ac:dyDescent="0.3">
      <c r="A20" s="3" t="s">
        <v>411</v>
      </c>
      <c r="B20" s="3" t="s">
        <v>17</v>
      </c>
      <c r="C20" s="4" t="s">
        <v>52</v>
      </c>
      <c r="D20" s="3" t="s">
        <v>165</v>
      </c>
      <c r="E20" s="5">
        <v>43222</v>
      </c>
      <c r="F20" s="6">
        <v>0.35208333333333336</v>
      </c>
      <c r="G20" s="3">
        <v>99</v>
      </c>
      <c r="H20" s="5">
        <v>43262</v>
      </c>
      <c r="I20" s="6">
        <v>0.70833333333333337</v>
      </c>
      <c r="J20" s="3">
        <v>79</v>
      </c>
      <c r="K20" s="3">
        <v>258</v>
      </c>
      <c r="L20" s="3" t="s">
        <v>123</v>
      </c>
      <c r="M20" s="4" t="s">
        <v>28</v>
      </c>
      <c r="N20" s="4" t="s">
        <v>412</v>
      </c>
      <c r="O20" s="4" t="s">
        <v>413</v>
      </c>
      <c r="P20" s="3" t="s">
        <v>414</v>
      </c>
      <c r="Q20" s="3" t="s">
        <v>79</v>
      </c>
      <c r="R20" s="3">
        <f>VLOOKUP(A20,comp!A:F,2,FALSE)</f>
        <v>18.511525672096031</v>
      </c>
      <c r="S20" s="3">
        <f>VLOOKUP(A20,comp!A:F,3,FALSE)</f>
        <v>71.887504931522287</v>
      </c>
      <c r="T20" s="3">
        <f>VLOOKUP(A20,comp!A:F,4,FALSE)</f>
        <v>9.1444513329200241</v>
      </c>
      <c r="U20" s="3">
        <f>VLOOKUP(A20,comp!A:F,5,FALSE)</f>
        <v>0.26207518457983431</v>
      </c>
      <c r="V20" s="3">
        <f>VLOOKUP(A20,comp!A:F,6,FALSE)</f>
        <v>9.58124330721975E-2</v>
      </c>
      <c r="W20" s="3">
        <f>VLOOKUP(A20,ndvi_vegnativa!A:F,2,FALSE)</f>
        <v>0.7697975625247766</v>
      </c>
      <c r="X20" s="3">
        <f>VLOOKUP(A20,ndvi_cana!A:F,2,FALSE)</f>
        <v>0.59983376956567658</v>
      </c>
      <c r="Y20" s="3">
        <f>VLOOKUP(A20,fragmentos!A:F,2,FALSE)</f>
        <v>162.0457257766507</v>
      </c>
    </row>
    <row r="21" spans="1:25" x14ac:dyDescent="0.3">
      <c r="A21" s="3" t="s">
        <v>411</v>
      </c>
      <c r="B21" s="3" t="s">
        <v>24</v>
      </c>
      <c r="C21" s="4" t="s">
        <v>415</v>
      </c>
      <c r="D21" s="3" t="s">
        <v>151</v>
      </c>
      <c r="E21" s="5">
        <v>43222</v>
      </c>
      <c r="F21" s="6">
        <v>0.38472222222222224</v>
      </c>
      <c r="G21" s="3">
        <v>99</v>
      </c>
      <c r="H21" s="5">
        <v>43262</v>
      </c>
      <c r="I21" s="6">
        <v>0.72013888888888888</v>
      </c>
      <c r="J21" s="3">
        <v>80</v>
      </c>
      <c r="K21" s="3">
        <v>158</v>
      </c>
      <c r="L21" s="3" t="s">
        <v>34</v>
      </c>
      <c r="M21" s="4" t="s">
        <v>28</v>
      </c>
      <c r="N21" s="4" t="s">
        <v>416</v>
      </c>
      <c r="O21" s="4" t="s">
        <v>417</v>
      </c>
      <c r="P21" s="3" t="s">
        <v>418</v>
      </c>
      <c r="R21" s="3">
        <f>VLOOKUP(A21,comp!A:F,2,FALSE)</f>
        <v>18.511525672096031</v>
      </c>
      <c r="S21" s="3">
        <f>VLOOKUP(A21,comp!A:F,3,FALSE)</f>
        <v>71.887504931522287</v>
      </c>
      <c r="T21" s="3">
        <f>VLOOKUP(A21,comp!A:F,4,FALSE)</f>
        <v>9.1444513329200241</v>
      </c>
      <c r="U21" s="3">
        <f>VLOOKUP(A21,comp!A:F,5,FALSE)</f>
        <v>0.26207518457983431</v>
      </c>
      <c r="V21" s="3">
        <f>VLOOKUP(A21,comp!A:F,6,FALSE)</f>
        <v>9.58124330721975E-2</v>
      </c>
      <c r="W21" s="3">
        <f>VLOOKUP(A21,ndvi_vegnativa!A:F,2,FALSE)</f>
        <v>0.7697975625247766</v>
      </c>
      <c r="X21" s="3">
        <f>VLOOKUP(A21,ndvi_cana!A:F,2,FALSE)</f>
        <v>0.59983376956567658</v>
      </c>
      <c r="Y21" s="3">
        <f>VLOOKUP(A21,fragmentos!A:F,2,FALSE)</f>
        <v>162.0457257766507</v>
      </c>
    </row>
    <row r="22" spans="1:25" x14ac:dyDescent="0.3">
      <c r="A22" s="3" t="s">
        <v>411</v>
      </c>
      <c r="B22" s="3" t="s">
        <v>31</v>
      </c>
      <c r="C22" s="4" t="s">
        <v>419</v>
      </c>
      <c r="D22" s="3" t="s">
        <v>142</v>
      </c>
      <c r="E22" s="5">
        <v>43222</v>
      </c>
      <c r="F22" s="6">
        <v>0.46458333333333335</v>
      </c>
      <c r="G22" s="3">
        <v>99</v>
      </c>
      <c r="H22" s="5">
        <v>43262</v>
      </c>
      <c r="I22" s="6">
        <v>0.69722222222222219</v>
      </c>
      <c r="J22" s="3">
        <v>87</v>
      </c>
      <c r="K22" s="3">
        <v>266</v>
      </c>
      <c r="L22" s="3" t="s">
        <v>206</v>
      </c>
      <c r="M22" s="4" t="s">
        <v>420</v>
      </c>
      <c r="N22" s="4" t="s">
        <v>421</v>
      </c>
      <c r="O22" s="4" t="s">
        <v>422</v>
      </c>
      <c r="P22" s="3" t="s">
        <v>423</v>
      </c>
      <c r="Q22" s="3" t="s">
        <v>424</v>
      </c>
      <c r="R22" s="3">
        <f>VLOOKUP(A22,comp!A:F,2,FALSE)</f>
        <v>18.511525672096031</v>
      </c>
      <c r="S22" s="3">
        <f>VLOOKUP(A22,comp!A:F,3,FALSE)</f>
        <v>71.887504931522287</v>
      </c>
      <c r="T22" s="3">
        <f>VLOOKUP(A22,comp!A:F,4,FALSE)</f>
        <v>9.1444513329200241</v>
      </c>
      <c r="U22" s="3">
        <f>VLOOKUP(A22,comp!A:F,5,FALSE)</f>
        <v>0.26207518457983431</v>
      </c>
      <c r="V22" s="3">
        <f>VLOOKUP(A22,comp!A:F,6,FALSE)</f>
        <v>9.58124330721975E-2</v>
      </c>
      <c r="W22" s="3">
        <f>VLOOKUP(A22,ndvi_vegnativa!A:F,2,FALSE)</f>
        <v>0.7697975625247766</v>
      </c>
      <c r="X22" s="3">
        <f>VLOOKUP(A22,ndvi_cana!A:F,2,FALSE)</f>
        <v>0.59983376956567658</v>
      </c>
      <c r="Y22" s="3">
        <f>VLOOKUP(A22,fragmentos!A:F,2,FALSE)</f>
        <v>162.0457257766507</v>
      </c>
    </row>
    <row r="23" spans="1:25" x14ac:dyDescent="0.3">
      <c r="A23" s="3" t="s">
        <v>197</v>
      </c>
      <c r="B23" s="3" t="s">
        <v>17</v>
      </c>
      <c r="C23" s="4" t="s">
        <v>46</v>
      </c>
      <c r="D23" s="3" t="s">
        <v>108</v>
      </c>
      <c r="E23" s="5">
        <v>42948</v>
      </c>
      <c r="F23" s="6">
        <v>0.46944444444444444</v>
      </c>
      <c r="G23" s="3">
        <v>99</v>
      </c>
      <c r="H23" s="5">
        <v>42978</v>
      </c>
      <c r="I23" s="6">
        <v>0.34097222222222223</v>
      </c>
      <c r="J23" s="3">
        <v>69</v>
      </c>
      <c r="K23" s="3">
        <v>528</v>
      </c>
      <c r="L23" s="3" t="s">
        <v>34</v>
      </c>
      <c r="M23" s="3">
        <v>8</v>
      </c>
      <c r="N23" s="4" t="s">
        <v>198</v>
      </c>
      <c r="O23" s="4" t="s">
        <v>199</v>
      </c>
      <c r="P23" s="3" t="s">
        <v>200</v>
      </c>
      <c r="Q23" s="3" t="s">
        <v>201</v>
      </c>
      <c r="R23" s="3">
        <f>VLOOKUP(A23,comp!A:F,2,FALSE)</f>
        <v>28.73122763517512</v>
      </c>
      <c r="S23" s="3">
        <f>VLOOKUP(A23,comp!A:F,3,FALSE)</f>
        <v>63.021611112676453</v>
      </c>
      <c r="T23" s="3">
        <f>VLOOKUP(A23,comp!A:F,4,FALSE)</f>
        <v>5.2210419542982729</v>
      </c>
      <c r="U23" s="3">
        <f>VLOOKUP(A23,comp!A:F,5,FALSE)</f>
        <v>0.38601335549857713</v>
      </c>
      <c r="V23" s="3">
        <f>VLOOKUP(A23,comp!A:F,6,FALSE)</f>
        <v>2.507678002873968</v>
      </c>
      <c r="W23" s="3">
        <f>VLOOKUP(A23,ndvi_vegnativa!A:F,2,FALSE)</f>
        <v>0.77692409519749484</v>
      </c>
      <c r="X23" s="3">
        <f>VLOOKUP(A23,ndvi_cana!A:F,2,FALSE)</f>
        <v>0.5109035441051677</v>
      </c>
      <c r="Y23" s="3">
        <f>VLOOKUP(A23,fragmentos!A:F,2,FALSE)</f>
        <v>386.30961677775491</v>
      </c>
    </row>
    <row r="24" spans="1:25" x14ac:dyDescent="0.3">
      <c r="A24" s="3" t="s">
        <v>197</v>
      </c>
      <c r="B24" s="3" t="s">
        <v>24</v>
      </c>
      <c r="C24" s="4" t="s">
        <v>40</v>
      </c>
      <c r="D24" s="3" t="s">
        <v>114</v>
      </c>
      <c r="E24" s="5">
        <v>42948</v>
      </c>
      <c r="F24" s="6">
        <v>0.51666666666666672</v>
      </c>
      <c r="G24" s="3">
        <v>93</v>
      </c>
      <c r="H24" s="5">
        <v>42978</v>
      </c>
      <c r="I24" s="6">
        <v>0.32916666666666666</v>
      </c>
      <c r="J24" s="3">
        <v>89</v>
      </c>
      <c r="K24" s="3">
        <v>426</v>
      </c>
      <c r="L24" s="3" t="s">
        <v>166</v>
      </c>
      <c r="M24" s="4" t="s">
        <v>35</v>
      </c>
      <c r="N24" s="4" t="s">
        <v>202</v>
      </c>
      <c r="O24" s="4" t="s">
        <v>203</v>
      </c>
      <c r="P24" s="3" t="s">
        <v>204</v>
      </c>
      <c r="Q24" s="3" t="s">
        <v>205</v>
      </c>
      <c r="R24" s="3">
        <f>VLOOKUP(A24,comp!A:F,2,FALSE)</f>
        <v>28.73122763517512</v>
      </c>
      <c r="S24" s="3">
        <f>VLOOKUP(A24,comp!A:F,3,FALSE)</f>
        <v>63.021611112676453</v>
      </c>
      <c r="T24" s="3">
        <f>VLOOKUP(A24,comp!A:F,4,FALSE)</f>
        <v>5.2210419542982729</v>
      </c>
      <c r="U24" s="3">
        <f>VLOOKUP(A24,comp!A:F,5,FALSE)</f>
        <v>0.38601335549857713</v>
      </c>
      <c r="V24" s="3">
        <f>VLOOKUP(A24,comp!A:F,6,FALSE)</f>
        <v>2.507678002873968</v>
      </c>
      <c r="W24" s="3">
        <f>VLOOKUP(A24,ndvi_vegnativa!A:F,2,FALSE)</f>
        <v>0.77692409519749484</v>
      </c>
      <c r="X24" s="3">
        <f>VLOOKUP(A24,ndvi_cana!A:F,2,FALSE)</f>
        <v>0.5109035441051677</v>
      </c>
      <c r="Y24" s="3">
        <f>VLOOKUP(A24,fragmentos!A:F,2,FALSE)</f>
        <v>386.30961677775491</v>
      </c>
    </row>
    <row r="25" spans="1:25" x14ac:dyDescent="0.3">
      <c r="A25" s="3" t="s">
        <v>197</v>
      </c>
      <c r="B25" s="3" t="s">
        <v>31</v>
      </c>
      <c r="C25" s="4" t="s">
        <v>52</v>
      </c>
      <c r="D25" s="3" t="s">
        <v>102</v>
      </c>
      <c r="E25" s="5">
        <v>42948</v>
      </c>
      <c r="F25" s="6">
        <v>0.66111111111111109</v>
      </c>
      <c r="G25" s="3">
        <v>90</v>
      </c>
      <c r="H25" s="5">
        <v>42978</v>
      </c>
      <c r="I25" s="6">
        <v>0.31666666666666665</v>
      </c>
      <c r="J25" s="3">
        <v>74</v>
      </c>
      <c r="K25" s="3">
        <v>126</v>
      </c>
      <c r="L25" s="3" t="s">
        <v>206</v>
      </c>
      <c r="M25" s="3">
        <v>12</v>
      </c>
      <c r="N25" s="4" t="s">
        <v>207</v>
      </c>
      <c r="O25" s="4" t="s">
        <v>208</v>
      </c>
      <c r="P25" s="3" t="s">
        <v>209</v>
      </c>
      <c r="R25" s="3">
        <f>VLOOKUP(A25,comp!A:F,2,FALSE)</f>
        <v>28.73122763517512</v>
      </c>
      <c r="S25" s="3">
        <f>VLOOKUP(A25,comp!A:F,3,FALSE)</f>
        <v>63.021611112676453</v>
      </c>
      <c r="T25" s="3">
        <f>VLOOKUP(A25,comp!A:F,4,FALSE)</f>
        <v>5.2210419542982729</v>
      </c>
      <c r="U25" s="3">
        <f>VLOOKUP(A25,comp!A:F,5,FALSE)</f>
        <v>0.38601335549857713</v>
      </c>
      <c r="V25" s="3">
        <f>VLOOKUP(A25,comp!A:F,6,FALSE)</f>
        <v>2.507678002873968</v>
      </c>
      <c r="W25" s="3">
        <f>VLOOKUP(A25,ndvi_vegnativa!A:F,2,FALSE)</f>
        <v>0.77692409519749484</v>
      </c>
      <c r="X25" s="3">
        <f>VLOOKUP(A25,ndvi_cana!A:F,2,FALSE)</f>
        <v>0.5109035441051677</v>
      </c>
      <c r="Y25" s="3">
        <f>VLOOKUP(A25,fragmentos!A:F,2,FALSE)</f>
        <v>386.30961677775491</v>
      </c>
    </row>
    <row r="26" spans="1:25" x14ac:dyDescent="0.3">
      <c r="A26" s="3" t="s">
        <v>652</v>
      </c>
      <c r="B26" s="3" t="s">
        <v>17</v>
      </c>
      <c r="C26" s="4" t="s">
        <v>653</v>
      </c>
      <c r="D26" s="3" t="s">
        <v>165</v>
      </c>
      <c r="E26" s="5">
        <v>43356</v>
      </c>
      <c r="F26" s="6">
        <v>0.39513888888888887</v>
      </c>
      <c r="G26" s="3">
        <v>97</v>
      </c>
      <c r="H26" s="5">
        <v>43396</v>
      </c>
      <c r="I26" s="6">
        <v>0.6118055555555556</v>
      </c>
      <c r="J26" s="3">
        <v>83</v>
      </c>
      <c r="K26" s="3">
        <v>345</v>
      </c>
      <c r="L26" s="3" t="s">
        <v>34</v>
      </c>
      <c r="M26" s="3">
        <v>6</v>
      </c>
      <c r="N26" s="4" t="s">
        <v>654</v>
      </c>
      <c r="O26" s="4" t="s">
        <v>655</v>
      </c>
      <c r="P26" s="3" t="s">
        <v>656</v>
      </c>
      <c r="R26" s="3">
        <f>VLOOKUP(A26,comp!A:F,2,FALSE)</f>
        <v>37.6312899501591</v>
      </c>
      <c r="S26" s="3">
        <f>VLOOKUP(A26,comp!A:F,3,FALSE)</f>
        <v>52.220313687945257</v>
      </c>
      <c r="T26" s="3">
        <f>VLOOKUP(A26,comp!A:F,4,FALSE)</f>
        <v>5.9780925294962408</v>
      </c>
      <c r="U26" s="3">
        <f>VLOOKUP(A26,comp!A:F,5,FALSE)</f>
        <v>2.9116098330188951</v>
      </c>
      <c r="V26" s="3">
        <f>VLOOKUP(A26,comp!A:F,6,FALSE)</f>
        <v>0.65328189677019688</v>
      </c>
      <c r="W26" s="3">
        <f>VLOOKUP(A26,ndvi_vegnativa!A:F,2,FALSE)</f>
        <v>0.82636900869522434</v>
      </c>
      <c r="X26" s="3">
        <f>VLOOKUP(A26,ndvi_cana!A:F,2,FALSE)</f>
        <v>0.65787421217899089</v>
      </c>
      <c r="Y26" s="3">
        <f>VLOOKUP(A26,fragmentos!A:F,2,FALSE)</f>
        <v>362.02819328959481</v>
      </c>
    </row>
    <row r="27" spans="1:25" x14ac:dyDescent="0.3">
      <c r="A27" s="3" t="s">
        <v>652</v>
      </c>
      <c r="B27" s="3" t="s">
        <v>24</v>
      </c>
      <c r="C27" s="4" t="s">
        <v>617</v>
      </c>
      <c r="D27" s="3" t="s">
        <v>128</v>
      </c>
      <c r="E27" s="5">
        <v>43356</v>
      </c>
      <c r="F27" s="6">
        <v>0.47708333333333336</v>
      </c>
      <c r="G27" s="3">
        <v>94</v>
      </c>
      <c r="H27" s="5">
        <v>43396</v>
      </c>
      <c r="I27" s="6">
        <v>0.625</v>
      </c>
      <c r="J27" s="3">
        <v>84</v>
      </c>
      <c r="K27" s="3">
        <v>234</v>
      </c>
      <c r="L27" s="3" t="s">
        <v>34</v>
      </c>
      <c r="M27" s="3">
        <v>20</v>
      </c>
      <c r="N27" s="4" t="s">
        <v>657</v>
      </c>
      <c r="O27" s="4" t="s">
        <v>658</v>
      </c>
      <c r="P27" s="3" t="s">
        <v>659</v>
      </c>
      <c r="Q27" s="3" t="s">
        <v>660</v>
      </c>
      <c r="R27" s="3">
        <f>VLOOKUP(A27,comp!A:F,2,FALSE)</f>
        <v>37.6312899501591</v>
      </c>
      <c r="S27" s="3">
        <f>VLOOKUP(A27,comp!A:F,3,FALSE)</f>
        <v>52.220313687945257</v>
      </c>
      <c r="T27" s="3">
        <f>VLOOKUP(A27,comp!A:F,4,FALSE)</f>
        <v>5.9780925294962408</v>
      </c>
      <c r="U27" s="3">
        <f>VLOOKUP(A27,comp!A:F,5,FALSE)</f>
        <v>2.9116098330188951</v>
      </c>
      <c r="V27" s="3">
        <f>VLOOKUP(A27,comp!A:F,6,FALSE)</f>
        <v>0.65328189677019688</v>
      </c>
      <c r="W27" s="3">
        <f>VLOOKUP(A27,ndvi_vegnativa!A:F,2,FALSE)</f>
        <v>0.82636900869522434</v>
      </c>
      <c r="X27" s="3">
        <f>VLOOKUP(A27,ndvi_cana!A:F,2,FALSE)</f>
        <v>0.65787421217899089</v>
      </c>
      <c r="Y27" s="3">
        <f>VLOOKUP(A27,fragmentos!A:F,2,FALSE)</f>
        <v>362.02819328959481</v>
      </c>
    </row>
    <row r="28" spans="1:25" x14ac:dyDescent="0.3">
      <c r="A28" s="3" t="s">
        <v>652</v>
      </c>
      <c r="B28" s="3" t="s">
        <v>31</v>
      </c>
      <c r="C28" s="4" t="s">
        <v>661</v>
      </c>
      <c r="D28" s="3" t="s">
        <v>133</v>
      </c>
      <c r="E28" s="5">
        <v>43356</v>
      </c>
      <c r="F28" s="6">
        <v>0.51527777777777772</v>
      </c>
      <c r="G28" s="3">
        <v>89</v>
      </c>
      <c r="H28" s="5">
        <v>43396</v>
      </c>
      <c r="I28" s="6">
        <v>0.63888888888888884</v>
      </c>
      <c r="J28" s="3">
        <v>57</v>
      </c>
      <c r="K28" s="3">
        <v>362</v>
      </c>
      <c r="L28" s="3" t="s">
        <v>34</v>
      </c>
      <c r="M28" s="3">
        <v>20</v>
      </c>
      <c r="N28" s="4" t="s">
        <v>662</v>
      </c>
      <c r="O28" s="4" t="s">
        <v>663</v>
      </c>
      <c r="P28" s="3" t="s">
        <v>664</v>
      </c>
      <c r="R28" s="3">
        <f>VLOOKUP(A28,comp!A:F,2,FALSE)</f>
        <v>37.6312899501591</v>
      </c>
      <c r="S28" s="3">
        <f>VLOOKUP(A28,comp!A:F,3,FALSE)</f>
        <v>52.220313687945257</v>
      </c>
      <c r="T28" s="3">
        <f>VLOOKUP(A28,comp!A:F,4,FALSE)</f>
        <v>5.9780925294962408</v>
      </c>
      <c r="U28" s="3">
        <f>VLOOKUP(A28,comp!A:F,5,FALSE)</f>
        <v>2.9116098330188951</v>
      </c>
      <c r="V28" s="3">
        <f>VLOOKUP(A28,comp!A:F,6,FALSE)</f>
        <v>0.65328189677019688</v>
      </c>
      <c r="W28" s="3">
        <f>VLOOKUP(A28,ndvi_vegnativa!A:F,2,FALSE)</f>
        <v>0.82636900869522434</v>
      </c>
      <c r="X28" s="3">
        <f>VLOOKUP(A28,ndvi_cana!A:F,2,FALSE)</f>
        <v>0.65787421217899089</v>
      </c>
      <c r="Y28" s="3">
        <f>VLOOKUP(A28,fragmentos!A:F,2,FALSE)</f>
        <v>362.02819328959481</v>
      </c>
    </row>
    <row r="29" spans="1:25" x14ac:dyDescent="0.3">
      <c r="A29" s="3" t="s">
        <v>137</v>
      </c>
      <c r="B29" s="3" t="s">
        <v>17</v>
      </c>
      <c r="C29" s="4" t="s">
        <v>52</v>
      </c>
      <c r="D29" s="3" t="s">
        <v>138</v>
      </c>
      <c r="E29" s="5">
        <v>42920</v>
      </c>
      <c r="F29" s="6">
        <v>0.55069444444444449</v>
      </c>
      <c r="G29" s="3">
        <v>90</v>
      </c>
      <c r="H29" s="5">
        <v>42948</v>
      </c>
      <c r="I29" s="6">
        <v>0.31944444444444442</v>
      </c>
      <c r="J29" s="3">
        <v>68</v>
      </c>
      <c r="K29" s="3">
        <v>120</v>
      </c>
      <c r="L29" s="3" t="s">
        <v>34</v>
      </c>
      <c r="M29" s="4" t="s">
        <v>124</v>
      </c>
      <c r="N29" s="4" t="s">
        <v>139</v>
      </c>
      <c r="O29" s="4" t="s">
        <v>140</v>
      </c>
      <c r="P29" s="3" t="s">
        <v>141</v>
      </c>
      <c r="R29" s="3">
        <f>VLOOKUP(A29,comp!A:F,2,FALSE)</f>
        <v>14.183017591339651</v>
      </c>
      <c r="S29" s="3">
        <f>VLOOKUP(A29,comp!A:F,3,FALSE)</f>
        <v>69.181326116373469</v>
      </c>
      <c r="T29" s="3">
        <f>VLOOKUP(A29,comp!A:F,4,FALSE)</f>
        <v>3.1997068110058642</v>
      </c>
      <c r="U29" s="3">
        <f>VLOOKUP(A29,comp!A:F,5,FALSE)</f>
        <v>2.8219440685611188</v>
      </c>
      <c r="V29" s="3">
        <f>VLOOKUP(A29,comp!A:F,6,FALSE)</f>
        <v>5.9060667568786656</v>
      </c>
      <c r="W29" s="3">
        <f>VLOOKUP(A29,ndvi_vegnativa!A:F,2,FALSE)</f>
        <v>0.68702281756483685</v>
      </c>
      <c r="X29" s="3">
        <f>VLOOKUP(A29,ndvi_cana!A:F,2,FALSE)</f>
        <v>0.54530584764162193</v>
      </c>
      <c r="Y29" s="3">
        <f>VLOOKUP(A29,fragmentos!A:F,2,FALSE)</f>
        <v>206.1047582131163</v>
      </c>
    </row>
    <row r="30" spans="1:25" x14ac:dyDescent="0.3">
      <c r="A30" s="3" t="s">
        <v>137</v>
      </c>
      <c r="B30" s="3" t="s">
        <v>24</v>
      </c>
      <c r="C30" s="4" t="s">
        <v>46</v>
      </c>
      <c r="D30" s="3" t="s">
        <v>142</v>
      </c>
      <c r="E30" s="5">
        <v>42920</v>
      </c>
      <c r="F30" s="6">
        <v>0.56666666666666665</v>
      </c>
      <c r="G30" s="3">
        <v>70</v>
      </c>
      <c r="H30" s="5">
        <v>42948</v>
      </c>
      <c r="I30" s="6">
        <v>0.32500000000000001</v>
      </c>
      <c r="J30" s="3">
        <v>45</v>
      </c>
      <c r="K30" s="3">
        <v>77</v>
      </c>
      <c r="L30" s="3" t="s">
        <v>34</v>
      </c>
      <c r="M30" s="4" t="s">
        <v>124</v>
      </c>
      <c r="N30" s="4" t="s">
        <v>143</v>
      </c>
      <c r="O30" s="4" t="s">
        <v>144</v>
      </c>
      <c r="P30" s="3" t="s">
        <v>141</v>
      </c>
      <c r="Q30" s="3" t="s">
        <v>145</v>
      </c>
      <c r="R30" s="3">
        <f>VLOOKUP(A30,comp!A:F,2,FALSE)</f>
        <v>14.183017591339651</v>
      </c>
      <c r="S30" s="3">
        <f>VLOOKUP(A30,comp!A:F,3,FALSE)</f>
        <v>69.181326116373469</v>
      </c>
      <c r="T30" s="3">
        <f>VLOOKUP(A30,comp!A:F,4,FALSE)</f>
        <v>3.1997068110058642</v>
      </c>
      <c r="U30" s="3">
        <f>VLOOKUP(A30,comp!A:F,5,FALSE)</f>
        <v>2.8219440685611188</v>
      </c>
      <c r="V30" s="3">
        <f>VLOOKUP(A30,comp!A:F,6,FALSE)</f>
        <v>5.9060667568786656</v>
      </c>
      <c r="W30" s="3">
        <f>VLOOKUP(A30,ndvi_vegnativa!A:F,2,FALSE)</f>
        <v>0.68702281756483685</v>
      </c>
      <c r="X30" s="3">
        <f>VLOOKUP(A30,ndvi_cana!A:F,2,FALSE)</f>
        <v>0.54530584764162193</v>
      </c>
      <c r="Y30" s="3">
        <f>VLOOKUP(A30,fragmentos!A:F,2,FALSE)</f>
        <v>206.1047582131163</v>
      </c>
    </row>
    <row r="31" spans="1:25" x14ac:dyDescent="0.3">
      <c r="A31" s="3" t="s">
        <v>137</v>
      </c>
      <c r="B31" s="3" t="s">
        <v>31</v>
      </c>
      <c r="C31" s="4" t="s">
        <v>40</v>
      </c>
      <c r="D31" s="3" t="s">
        <v>146</v>
      </c>
      <c r="E31" s="5">
        <v>42920</v>
      </c>
      <c r="F31" s="6">
        <v>0.58472222222222225</v>
      </c>
      <c r="G31" s="3">
        <v>93</v>
      </c>
      <c r="H31" s="5">
        <v>42948</v>
      </c>
      <c r="I31" s="6">
        <v>0.3347222222222222</v>
      </c>
      <c r="J31" s="3">
        <v>78</v>
      </c>
      <c r="K31" s="3">
        <v>125</v>
      </c>
      <c r="L31" s="3" t="s">
        <v>34</v>
      </c>
      <c r="M31" s="4" t="s">
        <v>147</v>
      </c>
      <c r="N31" s="4" t="s">
        <v>148</v>
      </c>
      <c r="O31" s="4" t="s">
        <v>149</v>
      </c>
      <c r="P31" s="3" t="s">
        <v>141</v>
      </c>
      <c r="Q31" s="3" t="s">
        <v>79</v>
      </c>
      <c r="R31" s="3">
        <f>VLOOKUP(A31,comp!A:F,2,FALSE)</f>
        <v>14.183017591339651</v>
      </c>
      <c r="S31" s="3">
        <f>VLOOKUP(A31,comp!A:F,3,FALSE)</f>
        <v>69.181326116373469</v>
      </c>
      <c r="T31" s="3">
        <f>VLOOKUP(A31,comp!A:F,4,FALSE)</f>
        <v>3.1997068110058642</v>
      </c>
      <c r="U31" s="3">
        <f>VLOOKUP(A31,comp!A:F,5,FALSE)</f>
        <v>2.8219440685611188</v>
      </c>
      <c r="V31" s="3">
        <f>VLOOKUP(A31,comp!A:F,6,FALSE)</f>
        <v>5.9060667568786656</v>
      </c>
      <c r="W31" s="3">
        <f>VLOOKUP(A31,ndvi_vegnativa!A:F,2,FALSE)</f>
        <v>0.68702281756483685</v>
      </c>
      <c r="X31" s="3">
        <f>VLOOKUP(A31,ndvi_cana!A:F,2,FALSE)</f>
        <v>0.54530584764162193</v>
      </c>
      <c r="Y31" s="3">
        <f>VLOOKUP(A31,fragmentos!A:F,2,FALSE)</f>
        <v>206.1047582131163</v>
      </c>
    </row>
    <row r="32" spans="1:25" x14ac:dyDescent="0.3">
      <c r="A32" s="3" t="s">
        <v>224</v>
      </c>
      <c r="B32" s="3" t="s">
        <v>17</v>
      </c>
      <c r="C32" s="4" t="s">
        <v>107</v>
      </c>
      <c r="D32" s="3" t="s">
        <v>89</v>
      </c>
      <c r="E32" s="5">
        <v>42950</v>
      </c>
      <c r="F32" s="6">
        <v>0.45347222222222222</v>
      </c>
      <c r="G32" s="3">
        <v>95</v>
      </c>
      <c r="H32" s="5">
        <v>42982</v>
      </c>
      <c r="I32" s="6">
        <v>0.31319444444444444</v>
      </c>
      <c r="J32" s="3">
        <v>64</v>
      </c>
      <c r="K32" s="3">
        <v>201</v>
      </c>
      <c r="L32" s="3" t="s">
        <v>123</v>
      </c>
      <c r="M32" s="4" t="s">
        <v>63</v>
      </c>
      <c r="N32" s="4" t="s">
        <v>225</v>
      </c>
      <c r="O32" s="4" t="s">
        <v>226</v>
      </c>
      <c r="P32" s="3" t="s">
        <v>227</v>
      </c>
      <c r="R32" s="3">
        <f>VLOOKUP(A32,comp!A:F,2,FALSE)</f>
        <v>22.419427541131402</v>
      </c>
      <c r="S32" s="3">
        <f>VLOOKUP(A32,comp!A:F,3,FALSE)</f>
        <v>66.291976560739243</v>
      </c>
      <c r="T32" s="3">
        <f>VLOOKUP(A32,comp!A:F,4,FALSE)</f>
        <v>8.350236646382692</v>
      </c>
      <c r="U32" s="3">
        <f>VLOOKUP(A32,comp!A:F,5,FALSE)</f>
        <v>1.9579670948839309</v>
      </c>
      <c r="V32" s="3">
        <f>VLOOKUP(A32,comp!A:F,6,FALSE)</f>
        <v>0.40004507550146501</v>
      </c>
      <c r="W32" s="3">
        <f>VLOOKUP(A32,ndvi_vegnativa!A:F,2,FALSE)</f>
        <v>0.83198153563348387</v>
      </c>
      <c r="X32" s="3">
        <f>VLOOKUP(A32,ndvi_cana!A:F,2,FALSE)</f>
        <v>0.53925550513376941</v>
      </c>
      <c r="Y32" s="3">
        <f>VLOOKUP(A32,fragmentos!A:F,2,FALSE)</f>
        <v>198.1736963942484</v>
      </c>
    </row>
    <row r="33" spans="1:25" x14ac:dyDescent="0.3">
      <c r="A33" s="3" t="s">
        <v>224</v>
      </c>
      <c r="B33" s="3" t="s">
        <v>24</v>
      </c>
      <c r="C33" s="4" t="s">
        <v>228</v>
      </c>
      <c r="D33" s="3" t="s">
        <v>229</v>
      </c>
      <c r="E33" s="5">
        <v>42950</v>
      </c>
      <c r="F33" s="6">
        <v>0.55833333333333335</v>
      </c>
      <c r="G33" s="3">
        <v>99</v>
      </c>
      <c r="H33" s="5">
        <v>42982</v>
      </c>
      <c r="I33" s="6">
        <v>0.32708333333333334</v>
      </c>
      <c r="J33" s="3">
        <v>81</v>
      </c>
      <c r="K33" s="3">
        <v>580</v>
      </c>
      <c r="L33" s="3" t="s">
        <v>123</v>
      </c>
      <c r="M33" s="4" t="s">
        <v>35</v>
      </c>
      <c r="N33" s="4" t="s">
        <v>230</v>
      </c>
      <c r="O33" s="4" t="s">
        <v>231</v>
      </c>
      <c r="P33" s="3" t="s">
        <v>232</v>
      </c>
      <c r="R33" s="3">
        <f>VLOOKUP(A33,comp!A:F,2,FALSE)</f>
        <v>22.419427541131402</v>
      </c>
      <c r="S33" s="3">
        <f>VLOOKUP(A33,comp!A:F,3,FALSE)</f>
        <v>66.291976560739243</v>
      </c>
      <c r="T33" s="3">
        <f>VLOOKUP(A33,comp!A:F,4,FALSE)</f>
        <v>8.350236646382692</v>
      </c>
      <c r="U33" s="3">
        <f>VLOOKUP(A33,comp!A:F,5,FALSE)</f>
        <v>1.9579670948839309</v>
      </c>
      <c r="V33" s="3">
        <f>VLOOKUP(A33,comp!A:F,6,FALSE)</f>
        <v>0.40004507550146501</v>
      </c>
      <c r="W33" s="3">
        <f>VLOOKUP(A33,ndvi_vegnativa!A:F,2,FALSE)</f>
        <v>0.83198153563348387</v>
      </c>
      <c r="X33" s="3">
        <f>VLOOKUP(A33,ndvi_cana!A:F,2,FALSE)</f>
        <v>0.53925550513376941</v>
      </c>
      <c r="Y33" s="3">
        <f>VLOOKUP(A33,fragmentos!A:F,2,FALSE)</f>
        <v>198.1736963942484</v>
      </c>
    </row>
    <row r="34" spans="1:25" x14ac:dyDescent="0.3">
      <c r="A34" s="3" t="s">
        <v>224</v>
      </c>
      <c r="B34" s="3" t="s">
        <v>31</v>
      </c>
      <c r="C34" s="4" t="s">
        <v>113</v>
      </c>
      <c r="D34" s="3" t="s">
        <v>41</v>
      </c>
      <c r="E34" s="5">
        <v>42950</v>
      </c>
      <c r="F34" s="6">
        <v>0.61041666666666672</v>
      </c>
      <c r="G34" s="3">
        <v>93</v>
      </c>
      <c r="H34" s="5">
        <v>42982</v>
      </c>
      <c r="I34" s="6">
        <v>0.30625000000000002</v>
      </c>
      <c r="J34" s="3">
        <v>56</v>
      </c>
      <c r="K34" s="3">
        <v>361</v>
      </c>
      <c r="L34" s="3" t="s">
        <v>123</v>
      </c>
      <c r="M34" s="3">
        <v>12</v>
      </c>
      <c r="N34" s="4" t="s">
        <v>233</v>
      </c>
      <c r="O34" s="4" t="s">
        <v>234</v>
      </c>
      <c r="P34" s="3" t="s">
        <v>235</v>
      </c>
      <c r="R34" s="3">
        <f>VLOOKUP(A34,comp!A:F,2,FALSE)</f>
        <v>22.419427541131402</v>
      </c>
      <c r="S34" s="3">
        <f>VLOOKUP(A34,comp!A:F,3,FALSE)</f>
        <v>66.291976560739243</v>
      </c>
      <c r="T34" s="3">
        <f>VLOOKUP(A34,comp!A:F,4,FALSE)</f>
        <v>8.350236646382692</v>
      </c>
      <c r="U34" s="3">
        <f>VLOOKUP(A34,comp!A:F,5,FALSE)</f>
        <v>1.9579670948839309</v>
      </c>
      <c r="V34" s="3">
        <f>VLOOKUP(A34,comp!A:F,6,FALSE)</f>
        <v>0.40004507550146501</v>
      </c>
      <c r="W34" s="3">
        <f>VLOOKUP(A34,ndvi_vegnativa!A:F,2,FALSE)</f>
        <v>0.83198153563348387</v>
      </c>
      <c r="X34" s="3">
        <f>VLOOKUP(A34,ndvi_cana!A:F,2,FALSE)</f>
        <v>0.53925550513376941</v>
      </c>
      <c r="Y34" s="3">
        <f>VLOOKUP(A34,fragmentos!A:F,2,FALSE)</f>
        <v>198.1736963942484</v>
      </c>
    </row>
    <row r="35" spans="1:25" x14ac:dyDescent="0.3">
      <c r="A35" s="3" t="s">
        <v>678</v>
      </c>
      <c r="B35" s="3" t="s">
        <v>17</v>
      </c>
      <c r="C35" s="4" t="s">
        <v>679</v>
      </c>
      <c r="D35" s="3" t="s">
        <v>454</v>
      </c>
      <c r="E35" s="5">
        <v>43357</v>
      </c>
      <c r="F35" s="6">
        <v>0.46597222222222223</v>
      </c>
      <c r="G35" s="3">
        <v>97</v>
      </c>
      <c r="H35" s="5">
        <v>43396</v>
      </c>
      <c r="I35" s="6">
        <v>0.40486111111111112</v>
      </c>
      <c r="J35" s="3">
        <v>83</v>
      </c>
      <c r="K35" s="3">
        <v>603</v>
      </c>
      <c r="L35" s="3" t="s">
        <v>608</v>
      </c>
      <c r="M35" s="3">
        <v>20</v>
      </c>
      <c r="N35" s="4" t="s">
        <v>680</v>
      </c>
      <c r="O35" s="4" t="s">
        <v>681</v>
      </c>
      <c r="P35" s="3" t="s">
        <v>682</v>
      </c>
      <c r="R35" s="3">
        <f>VLOOKUP(A35,comp!A:F,2,FALSE)</f>
        <v>25.195097901112831</v>
      </c>
      <c r="S35" s="3">
        <f>VLOOKUP(A35,comp!A:F,3,FALSE)</f>
        <v>51.097337653190593</v>
      </c>
      <c r="T35" s="3">
        <f>VLOOKUP(A35,comp!A:F,4,FALSE)</f>
        <v>17.69826736160023</v>
      </c>
      <c r="U35" s="3">
        <f>VLOOKUP(A35,comp!A:F,5,FALSE)</f>
        <v>5.431750950838147</v>
      </c>
      <c r="V35" s="3">
        <f>VLOOKUP(A35,comp!A:F,6,FALSE)</f>
        <v>0.1746724890829694</v>
      </c>
      <c r="W35" s="3">
        <f>VLOOKUP(A35,ndvi_vegnativa!A:F,2,FALSE)</f>
        <v>0.82827918258880295</v>
      </c>
      <c r="X35" s="3">
        <f>VLOOKUP(A35,ndvi_cana!A:F,2,FALSE)</f>
        <v>0.51138194157288075</v>
      </c>
      <c r="Y35" s="3">
        <f>VLOOKUP(A35,fragmentos!A:F,2,FALSE)</f>
        <v>178.41672062030591</v>
      </c>
    </row>
    <row r="36" spans="1:25" x14ac:dyDescent="0.3">
      <c r="A36" s="3" t="s">
        <v>678</v>
      </c>
      <c r="B36" s="3" t="s">
        <v>24</v>
      </c>
      <c r="C36" s="4" t="s">
        <v>613</v>
      </c>
      <c r="D36" s="3" t="s">
        <v>122</v>
      </c>
      <c r="E36" s="5">
        <v>43357</v>
      </c>
      <c r="F36" s="6">
        <v>0.49583333333333335</v>
      </c>
      <c r="G36" s="3">
        <v>95</v>
      </c>
      <c r="H36" s="5">
        <v>43396</v>
      </c>
      <c r="I36" s="6">
        <v>0.38541666666666669</v>
      </c>
      <c r="J36" s="3">
        <v>84</v>
      </c>
      <c r="K36" s="3">
        <v>645</v>
      </c>
      <c r="L36" s="3" t="s">
        <v>34</v>
      </c>
      <c r="M36" s="3">
        <v>20</v>
      </c>
      <c r="N36" s="4" t="s">
        <v>683</v>
      </c>
      <c r="O36" s="4" t="s">
        <v>684</v>
      </c>
      <c r="P36" s="3" t="s">
        <v>685</v>
      </c>
      <c r="Q36" s="3" t="s">
        <v>686</v>
      </c>
      <c r="R36" s="3">
        <f>VLOOKUP(A36,comp!A:F,2,FALSE)</f>
        <v>25.195097901112831</v>
      </c>
      <c r="S36" s="3">
        <f>VLOOKUP(A36,comp!A:F,3,FALSE)</f>
        <v>51.097337653190593</v>
      </c>
      <c r="T36" s="3">
        <f>VLOOKUP(A36,comp!A:F,4,FALSE)</f>
        <v>17.69826736160023</v>
      </c>
      <c r="U36" s="3">
        <f>VLOOKUP(A36,comp!A:F,5,FALSE)</f>
        <v>5.431750950838147</v>
      </c>
      <c r="V36" s="3">
        <f>VLOOKUP(A36,comp!A:F,6,FALSE)</f>
        <v>0.1746724890829694</v>
      </c>
      <c r="W36" s="3">
        <f>VLOOKUP(A36,ndvi_vegnativa!A:F,2,FALSE)</f>
        <v>0.82827918258880295</v>
      </c>
      <c r="X36" s="3">
        <f>VLOOKUP(A36,ndvi_cana!A:F,2,FALSE)</f>
        <v>0.51138194157288075</v>
      </c>
      <c r="Y36" s="3">
        <f>VLOOKUP(A36,fragmentos!A:F,2,FALSE)</f>
        <v>178.41672062030591</v>
      </c>
    </row>
    <row r="37" spans="1:25" x14ac:dyDescent="0.3">
      <c r="A37" s="3" t="s">
        <v>678</v>
      </c>
      <c r="B37" s="3" t="s">
        <v>31</v>
      </c>
      <c r="C37" s="4" t="s">
        <v>687</v>
      </c>
      <c r="D37" s="3" t="s">
        <v>146</v>
      </c>
      <c r="E37" s="5">
        <v>43357</v>
      </c>
      <c r="F37" s="6">
        <v>0.62708333333333333</v>
      </c>
      <c r="G37" s="3">
        <v>95</v>
      </c>
      <c r="H37" s="5">
        <v>43396</v>
      </c>
      <c r="I37" s="6">
        <v>0.33819444444444446</v>
      </c>
      <c r="J37" s="3">
        <v>83</v>
      </c>
      <c r="K37" s="3">
        <v>561</v>
      </c>
      <c r="L37" s="3" t="s">
        <v>34</v>
      </c>
      <c r="M37" s="3">
        <v>20</v>
      </c>
      <c r="N37" s="4" t="s">
        <v>688</v>
      </c>
      <c r="O37" s="4" t="s">
        <v>689</v>
      </c>
      <c r="P37" s="3" t="s">
        <v>690</v>
      </c>
      <c r="Q37" s="3" t="s">
        <v>691</v>
      </c>
      <c r="R37" s="3">
        <f>VLOOKUP(A37,comp!A:F,2,FALSE)</f>
        <v>25.195097901112831</v>
      </c>
      <c r="S37" s="3">
        <f>VLOOKUP(A37,comp!A:F,3,FALSE)</f>
        <v>51.097337653190593</v>
      </c>
      <c r="T37" s="3">
        <f>VLOOKUP(A37,comp!A:F,4,FALSE)</f>
        <v>17.69826736160023</v>
      </c>
      <c r="U37" s="3">
        <f>VLOOKUP(A37,comp!A:F,5,FALSE)</f>
        <v>5.431750950838147</v>
      </c>
      <c r="V37" s="3">
        <f>VLOOKUP(A37,comp!A:F,6,FALSE)</f>
        <v>0.1746724890829694</v>
      </c>
      <c r="W37" s="3">
        <f>VLOOKUP(A37,ndvi_vegnativa!A:F,2,FALSE)</f>
        <v>0.82827918258880295</v>
      </c>
      <c r="X37" s="3">
        <f>VLOOKUP(A37,ndvi_cana!A:F,2,FALSE)</f>
        <v>0.51138194157288075</v>
      </c>
      <c r="Y37" s="3">
        <f>VLOOKUP(A37,fragmentos!A:F,2,FALSE)</f>
        <v>178.41672062030591</v>
      </c>
    </row>
    <row r="38" spans="1:25" x14ac:dyDescent="0.3">
      <c r="A38" s="3" t="s">
        <v>249</v>
      </c>
      <c r="B38" s="3" t="s">
        <v>17</v>
      </c>
      <c r="C38" s="4" t="s">
        <v>25</v>
      </c>
      <c r="D38" s="3" t="s">
        <v>178</v>
      </c>
      <c r="E38" s="5">
        <v>42977</v>
      </c>
      <c r="F38" s="6">
        <v>0.53819444444444442</v>
      </c>
      <c r="G38" s="3">
        <v>90</v>
      </c>
      <c r="H38" s="5">
        <v>43006</v>
      </c>
      <c r="I38" s="6">
        <v>0.32222222222222224</v>
      </c>
      <c r="J38" s="3">
        <v>79</v>
      </c>
      <c r="K38" s="3">
        <v>231</v>
      </c>
      <c r="L38" s="3" t="s">
        <v>34</v>
      </c>
      <c r="M38" s="3">
        <v>10</v>
      </c>
      <c r="N38" s="4" t="s">
        <v>250</v>
      </c>
      <c r="O38" s="4" t="s">
        <v>251</v>
      </c>
      <c r="P38" s="3" t="s">
        <v>252</v>
      </c>
      <c r="R38" s="3">
        <f>VLOOKUP(A38,comp!A:F,2,FALSE)</f>
        <v>25.406045567335891</v>
      </c>
      <c r="S38" s="3">
        <f>VLOOKUP(A38,comp!A:F,3,FALSE)</f>
        <v>67.840627114820663</v>
      </c>
      <c r="T38" s="3">
        <f>VLOOKUP(A38,comp!A:F,4,FALSE)</f>
        <v>2.1063613805549291</v>
      </c>
      <c r="U38" s="3">
        <f>VLOOKUP(A38,comp!A:F,5,FALSE)</f>
        <v>3.5021430182720499</v>
      </c>
      <c r="V38" s="3">
        <f>VLOOKUP(A38,comp!A:F,6,FALSE)</f>
        <v>0.6400857207308821</v>
      </c>
      <c r="W38" s="3">
        <f>VLOOKUP(A38,ndvi_vegnativa!A:F,2,FALSE)</f>
        <v>0.77238380725639</v>
      </c>
      <c r="X38" s="3">
        <f>VLOOKUP(A38,ndvi_cana!A:F,2,FALSE)</f>
        <v>0.49292615703098758</v>
      </c>
      <c r="Y38" s="3">
        <f>VLOOKUP(A38,fragmentos!A:F,2,FALSE)</f>
        <v>316.73465837029039</v>
      </c>
    </row>
    <row r="39" spans="1:25" x14ac:dyDescent="0.3">
      <c r="A39" s="3" t="s">
        <v>249</v>
      </c>
      <c r="B39" s="3" t="s">
        <v>24</v>
      </c>
      <c r="C39" s="4" t="s">
        <v>18</v>
      </c>
      <c r="D39" s="3" t="s">
        <v>173</v>
      </c>
      <c r="E39" s="5">
        <v>42977</v>
      </c>
      <c r="F39" s="6">
        <v>0.61250000000000004</v>
      </c>
      <c r="G39" s="3">
        <v>83</v>
      </c>
      <c r="H39" s="5">
        <v>43006</v>
      </c>
      <c r="I39" s="6">
        <v>0.30833333333333335</v>
      </c>
      <c r="J39" s="3">
        <v>62</v>
      </c>
      <c r="K39" s="3">
        <v>193</v>
      </c>
      <c r="L39" s="3" t="s">
        <v>34</v>
      </c>
      <c r="M39" s="3">
        <v>15</v>
      </c>
      <c r="N39" s="4" t="s">
        <v>253</v>
      </c>
      <c r="O39" s="4" t="s">
        <v>254</v>
      </c>
      <c r="P39" s="3" t="s">
        <v>255</v>
      </c>
      <c r="R39" s="3">
        <f>VLOOKUP(A39,comp!A:F,2,FALSE)</f>
        <v>25.406045567335891</v>
      </c>
      <c r="S39" s="3">
        <f>VLOOKUP(A39,comp!A:F,3,FALSE)</f>
        <v>67.840627114820663</v>
      </c>
      <c r="T39" s="3">
        <f>VLOOKUP(A39,comp!A:F,4,FALSE)</f>
        <v>2.1063613805549291</v>
      </c>
      <c r="U39" s="3">
        <f>VLOOKUP(A39,comp!A:F,5,FALSE)</f>
        <v>3.5021430182720499</v>
      </c>
      <c r="V39" s="3">
        <f>VLOOKUP(A39,comp!A:F,6,FALSE)</f>
        <v>0.6400857207308821</v>
      </c>
      <c r="W39" s="3">
        <f>VLOOKUP(A39,ndvi_vegnativa!A:F,2,FALSE)</f>
        <v>0.77238380725639</v>
      </c>
      <c r="X39" s="3">
        <f>VLOOKUP(A39,ndvi_cana!A:F,2,FALSE)</f>
        <v>0.49292615703098758</v>
      </c>
      <c r="Y39" s="3">
        <f>VLOOKUP(A39,fragmentos!A:F,2,FALSE)</f>
        <v>316.73465837029039</v>
      </c>
    </row>
    <row r="40" spans="1:25" x14ac:dyDescent="0.3">
      <c r="A40" s="3" t="s">
        <v>249</v>
      </c>
      <c r="B40" s="3" t="s">
        <v>31</v>
      </c>
      <c r="C40" s="4" t="s">
        <v>256</v>
      </c>
      <c r="D40" s="3" t="s">
        <v>146</v>
      </c>
      <c r="E40" s="5">
        <v>42977</v>
      </c>
      <c r="F40" s="6">
        <v>0.70763888888888893</v>
      </c>
      <c r="G40" s="3">
        <v>95</v>
      </c>
      <c r="H40" s="5">
        <v>43006</v>
      </c>
      <c r="I40" s="6">
        <v>0.29930555555555555</v>
      </c>
      <c r="J40" s="3">
        <v>79</v>
      </c>
      <c r="K40" s="3">
        <v>170</v>
      </c>
      <c r="L40" s="3" t="s">
        <v>206</v>
      </c>
      <c r="M40" s="3">
        <v>5</v>
      </c>
      <c r="N40" s="4" t="s">
        <v>257</v>
      </c>
      <c r="O40" s="4" t="s">
        <v>258</v>
      </c>
      <c r="P40" s="3" t="s">
        <v>259</v>
      </c>
      <c r="R40" s="3">
        <f>VLOOKUP(A40,comp!A:F,2,FALSE)</f>
        <v>25.406045567335891</v>
      </c>
      <c r="S40" s="3">
        <f>VLOOKUP(A40,comp!A:F,3,FALSE)</f>
        <v>67.840627114820663</v>
      </c>
      <c r="T40" s="3">
        <f>VLOOKUP(A40,comp!A:F,4,FALSE)</f>
        <v>2.1063613805549291</v>
      </c>
      <c r="U40" s="3">
        <f>VLOOKUP(A40,comp!A:F,5,FALSE)</f>
        <v>3.5021430182720499</v>
      </c>
      <c r="V40" s="3">
        <f>VLOOKUP(A40,comp!A:F,6,FALSE)</f>
        <v>0.6400857207308821</v>
      </c>
      <c r="W40" s="3">
        <f>VLOOKUP(A40,ndvi_vegnativa!A:F,2,FALSE)</f>
        <v>0.77238380725639</v>
      </c>
      <c r="X40" s="3">
        <f>VLOOKUP(A40,ndvi_cana!A:F,2,FALSE)</f>
        <v>0.49292615703098758</v>
      </c>
      <c r="Y40" s="3">
        <f>VLOOKUP(A40,fragmentos!A:F,2,FALSE)</f>
        <v>316.73465837029039</v>
      </c>
    </row>
    <row r="41" spans="1:25" x14ac:dyDescent="0.3">
      <c r="A41" s="3" t="s">
        <v>468</v>
      </c>
      <c r="B41" s="3" t="s">
        <v>17</v>
      </c>
      <c r="C41" s="4" t="s">
        <v>81</v>
      </c>
      <c r="D41" s="3" t="s">
        <v>69</v>
      </c>
      <c r="E41" s="5">
        <v>43257</v>
      </c>
      <c r="F41" s="6">
        <v>0.43402777777777779</v>
      </c>
      <c r="G41" s="3">
        <v>99</v>
      </c>
      <c r="H41" s="5">
        <v>43285</v>
      </c>
      <c r="I41" s="6">
        <v>0.3125</v>
      </c>
      <c r="J41" s="3">
        <v>81</v>
      </c>
      <c r="K41" s="3">
        <v>218</v>
      </c>
      <c r="L41" s="3" t="s">
        <v>83</v>
      </c>
      <c r="M41" s="3">
        <v>11</v>
      </c>
      <c r="N41" s="4" t="s">
        <v>469</v>
      </c>
      <c r="O41" s="4" t="s">
        <v>470</v>
      </c>
      <c r="P41" s="3" t="s">
        <v>471</v>
      </c>
      <c r="Q41" s="3" t="s">
        <v>472</v>
      </c>
      <c r="R41" s="3">
        <f>VLOOKUP(A41,comp!A:F,2,FALSE)</f>
        <v>43.038723859985353</v>
      </c>
      <c r="S41" s="3">
        <f>VLOOKUP(A41,comp!A:F,3,FALSE)</f>
        <v>30.742348232906821</v>
      </c>
      <c r="T41" s="3">
        <f>VLOOKUP(A41,comp!A:F,4,FALSE)</f>
        <v>11.76934783834057</v>
      </c>
      <c r="U41" s="3">
        <f>VLOOKUP(A41,comp!A:F,5,FALSE)</f>
        <v>14.359393495293389</v>
      </c>
      <c r="V41" s="3">
        <f>VLOOKUP(A41,comp!A:F,6,FALSE)</f>
        <v>0</v>
      </c>
      <c r="W41" s="3">
        <f>VLOOKUP(A41,ndvi_vegnativa!A:F,2,FALSE)</f>
        <v>0.81586815846836591</v>
      </c>
      <c r="X41" s="3">
        <f>VLOOKUP(A41,ndvi_cana!A:F,2,FALSE)</f>
        <v>0.47957857685545791</v>
      </c>
      <c r="Y41" s="3">
        <f>VLOOKUP(A41,fragmentos!A:F,2,FALSE)</f>
        <v>196.69299174319269</v>
      </c>
    </row>
    <row r="42" spans="1:25" x14ac:dyDescent="0.3">
      <c r="A42" s="3" t="s">
        <v>468</v>
      </c>
      <c r="B42" s="3" t="s">
        <v>24</v>
      </c>
      <c r="C42" s="4" t="s">
        <v>18</v>
      </c>
      <c r="D42" s="3" t="s">
        <v>75</v>
      </c>
      <c r="E42" s="5">
        <v>43257</v>
      </c>
      <c r="F42" s="6">
        <v>0.50208333333333333</v>
      </c>
      <c r="G42" s="3">
        <v>99</v>
      </c>
      <c r="H42" s="5">
        <v>43285</v>
      </c>
      <c r="I42" s="6">
        <v>0.33680555555555558</v>
      </c>
      <c r="J42" s="3">
        <v>72</v>
      </c>
      <c r="K42" s="3">
        <v>174</v>
      </c>
      <c r="L42" s="3" t="s">
        <v>83</v>
      </c>
      <c r="M42" s="3">
        <v>11</v>
      </c>
      <c r="N42" s="4" t="s">
        <v>473</v>
      </c>
      <c r="O42" s="4" t="s">
        <v>474</v>
      </c>
      <c r="P42" s="3" t="s">
        <v>475</v>
      </c>
      <c r="Q42" s="3" t="s">
        <v>476</v>
      </c>
      <c r="R42" s="3">
        <f>VLOOKUP(A42,comp!A:F,2,FALSE)</f>
        <v>43.038723859985353</v>
      </c>
      <c r="S42" s="3">
        <f>VLOOKUP(A42,comp!A:F,3,FALSE)</f>
        <v>30.742348232906821</v>
      </c>
      <c r="T42" s="3">
        <f>VLOOKUP(A42,comp!A:F,4,FALSE)</f>
        <v>11.76934783834057</v>
      </c>
      <c r="U42" s="3">
        <f>VLOOKUP(A42,comp!A:F,5,FALSE)</f>
        <v>14.359393495293389</v>
      </c>
      <c r="V42" s="3">
        <f>VLOOKUP(A42,comp!A:F,6,FALSE)</f>
        <v>0</v>
      </c>
      <c r="W42" s="3">
        <f>VLOOKUP(A42,ndvi_vegnativa!A:F,2,FALSE)</f>
        <v>0.81586815846836591</v>
      </c>
      <c r="X42" s="3">
        <f>VLOOKUP(A42,ndvi_cana!A:F,2,FALSE)</f>
        <v>0.47957857685545791</v>
      </c>
      <c r="Y42" s="3">
        <f>VLOOKUP(A42,fragmentos!A:F,2,FALSE)</f>
        <v>196.69299174319269</v>
      </c>
    </row>
    <row r="43" spans="1:25" x14ac:dyDescent="0.3">
      <c r="A43" s="3" t="s">
        <v>468</v>
      </c>
      <c r="B43" s="3" t="s">
        <v>31</v>
      </c>
      <c r="C43" s="4" t="s">
        <v>68</v>
      </c>
      <c r="D43" s="3" t="s">
        <v>82</v>
      </c>
      <c r="E43" s="5">
        <v>43257</v>
      </c>
      <c r="F43" s="6">
        <v>0.62361111111111112</v>
      </c>
      <c r="G43" s="3">
        <v>99</v>
      </c>
      <c r="H43" s="5">
        <v>43285</v>
      </c>
      <c r="I43" s="6">
        <v>0.35416666666666669</v>
      </c>
      <c r="J43" s="3">
        <v>84</v>
      </c>
      <c r="K43" s="3">
        <v>192</v>
      </c>
      <c r="L43" s="3" t="s">
        <v>83</v>
      </c>
      <c r="M43" s="3">
        <v>11</v>
      </c>
      <c r="N43" s="4" t="s">
        <v>477</v>
      </c>
      <c r="O43" s="4" t="s">
        <v>478</v>
      </c>
      <c r="R43" s="3">
        <f>VLOOKUP(A43,comp!A:F,2,FALSE)</f>
        <v>43.038723859985353</v>
      </c>
      <c r="S43" s="3">
        <f>VLOOKUP(A43,comp!A:F,3,FALSE)</f>
        <v>30.742348232906821</v>
      </c>
      <c r="T43" s="3">
        <f>VLOOKUP(A43,comp!A:F,4,FALSE)</f>
        <v>11.76934783834057</v>
      </c>
      <c r="U43" s="3">
        <f>VLOOKUP(A43,comp!A:F,5,FALSE)</f>
        <v>14.359393495293389</v>
      </c>
      <c r="V43" s="3">
        <f>VLOOKUP(A43,comp!A:F,6,FALSE)</f>
        <v>0</v>
      </c>
      <c r="W43" s="3">
        <f>VLOOKUP(A43,ndvi_vegnativa!A:F,2,FALSE)</f>
        <v>0.81586815846836591</v>
      </c>
      <c r="X43" s="3">
        <f>VLOOKUP(A43,ndvi_cana!A:F,2,FALSE)</f>
        <v>0.47957857685545791</v>
      </c>
      <c r="Y43" s="3">
        <f>VLOOKUP(A43,fragmentos!A:F,2,FALSE)</f>
        <v>196.69299174319269</v>
      </c>
    </row>
    <row r="44" spans="1:25" x14ac:dyDescent="0.3">
      <c r="A44" s="3" t="s">
        <v>490</v>
      </c>
      <c r="B44" s="3" t="s">
        <v>17</v>
      </c>
      <c r="C44" s="4" t="s">
        <v>25</v>
      </c>
      <c r="D44" s="3" t="s">
        <v>237</v>
      </c>
      <c r="E44" s="5">
        <v>43259</v>
      </c>
      <c r="F44" s="6">
        <v>0.50208333333333333</v>
      </c>
      <c r="G44" s="3">
        <v>95</v>
      </c>
      <c r="H44" s="5">
        <v>43285</v>
      </c>
      <c r="I44" s="6">
        <v>0.55625000000000002</v>
      </c>
      <c r="J44" s="3">
        <v>83</v>
      </c>
      <c r="K44" s="3">
        <v>150</v>
      </c>
      <c r="L44" s="3" t="s">
        <v>123</v>
      </c>
      <c r="M44" s="3">
        <v>7</v>
      </c>
      <c r="N44" s="4" t="s">
        <v>491</v>
      </c>
      <c r="O44" s="4" t="s">
        <v>492</v>
      </c>
      <c r="P44" s="3" t="s">
        <v>493</v>
      </c>
      <c r="Q44" s="3" t="s">
        <v>494</v>
      </c>
      <c r="R44" s="3">
        <f>VLOOKUP(A44,comp!A:F,2,FALSE)</f>
        <v>33.870558733199957</v>
      </c>
      <c r="S44" s="3">
        <f>VLOOKUP(A44,comp!A:F,3,FALSE)</f>
        <v>26.58702206193119</v>
      </c>
      <c r="T44" s="3">
        <f>VLOOKUP(A44,comp!A:F,4,FALSE)</f>
        <v>17.657997802259729</v>
      </c>
      <c r="U44" s="3">
        <f>VLOOKUP(A44,comp!A:F,5,FALSE)</f>
        <v>21.88442140260911</v>
      </c>
      <c r="V44" s="3">
        <f>VLOOKUP(A44,comp!A:F,6,FALSE)</f>
        <v>0</v>
      </c>
      <c r="W44" s="3">
        <f>VLOOKUP(A44,ndvi_vegnativa!A:F,2,FALSE)</f>
        <v>0.81884802233118892</v>
      </c>
      <c r="X44" s="3">
        <f>VLOOKUP(A44,ndvi_cana!A:F,2,FALSE)</f>
        <v>0.60620219270343656</v>
      </c>
      <c r="Y44" s="3">
        <f>VLOOKUP(A44,fragmentos!A:F,2,FALSE)</f>
        <v>110.486311994872</v>
      </c>
    </row>
    <row r="45" spans="1:25" x14ac:dyDescent="0.3">
      <c r="A45" s="3" t="s">
        <v>490</v>
      </c>
      <c r="B45" s="3" t="s">
        <v>24</v>
      </c>
      <c r="C45" s="4" t="s">
        <v>61</v>
      </c>
      <c r="D45" s="3" t="s">
        <v>33</v>
      </c>
      <c r="E45" s="5">
        <v>43259</v>
      </c>
      <c r="F45" s="6">
        <v>0.55555555555555558</v>
      </c>
      <c r="G45" s="3">
        <v>95</v>
      </c>
      <c r="H45" s="5">
        <v>43285</v>
      </c>
      <c r="I45" s="6">
        <v>0.6020833333333333</v>
      </c>
      <c r="J45" s="3">
        <v>84</v>
      </c>
      <c r="K45" s="3">
        <v>236</v>
      </c>
      <c r="L45" s="3" t="s">
        <v>123</v>
      </c>
      <c r="M45" s="3">
        <v>22.5</v>
      </c>
      <c r="N45" s="4" t="s">
        <v>495</v>
      </c>
      <c r="O45" s="4" t="s">
        <v>496</v>
      </c>
      <c r="P45" s="3" t="s">
        <v>497</v>
      </c>
      <c r="R45" s="3">
        <f>VLOOKUP(A45,comp!A:F,2,FALSE)</f>
        <v>33.870558733199957</v>
      </c>
      <c r="S45" s="3">
        <f>VLOOKUP(A45,comp!A:F,3,FALSE)</f>
        <v>26.58702206193119</v>
      </c>
      <c r="T45" s="3">
        <f>VLOOKUP(A45,comp!A:F,4,FALSE)</f>
        <v>17.657997802259729</v>
      </c>
      <c r="U45" s="3">
        <f>VLOOKUP(A45,comp!A:F,5,FALSE)</f>
        <v>21.88442140260911</v>
      </c>
      <c r="V45" s="3">
        <f>VLOOKUP(A45,comp!A:F,6,FALSE)</f>
        <v>0</v>
      </c>
      <c r="W45" s="3">
        <f>VLOOKUP(A45,ndvi_vegnativa!A:F,2,FALSE)</f>
        <v>0.81884802233118892</v>
      </c>
      <c r="X45" s="3">
        <f>VLOOKUP(A45,ndvi_cana!A:F,2,FALSE)</f>
        <v>0.60620219270343656</v>
      </c>
      <c r="Y45" s="3">
        <f>VLOOKUP(A45,fragmentos!A:F,2,FALSE)</f>
        <v>110.486311994872</v>
      </c>
    </row>
    <row r="46" spans="1:25" x14ac:dyDescent="0.3">
      <c r="A46" s="3" t="s">
        <v>490</v>
      </c>
      <c r="B46" s="3" t="s">
        <v>31</v>
      </c>
      <c r="C46" s="4" t="s">
        <v>107</v>
      </c>
      <c r="D46" s="3" t="s">
        <v>366</v>
      </c>
      <c r="E46" s="5">
        <v>43259</v>
      </c>
      <c r="F46" s="6">
        <v>0.60763888888888884</v>
      </c>
      <c r="G46" s="3">
        <v>95</v>
      </c>
      <c r="H46" s="5">
        <v>43285</v>
      </c>
      <c r="I46" s="6">
        <v>0.57708333333333328</v>
      </c>
      <c r="J46" s="3">
        <v>83</v>
      </c>
      <c r="K46" s="3">
        <v>416</v>
      </c>
      <c r="L46" s="3" t="s">
        <v>123</v>
      </c>
      <c r="M46" s="3">
        <v>15</v>
      </c>
      <c r="N46" s="4" t="s">
        <v>498</v>
      </c>
      <c r="O46" s="4" t="s">
        <v>499</v>
      </c>
      <c r="P46" s="3" t="s">
        <v>500</v>
      </c>
      <c r="R46" s="3">
        <f>VLOOKUP(A46,comp!A:F,2,FALSE)</f>
        <v>33.870558733199957</v>
      </c>
      <c r="S46" s="3">
        <f>VLOOKUP(A46,comp!A:F,3,FALSE)</f>
        <v>26.58702206193119</v>
      </c>
      <c r="T46" s="3">
        <f>VLOOKUP(A46,comp!A:F,4,FALSE)</f>
        <v>17.657997802259729</v>
      </c>
      <c r="U46" s="3">
        <f>VLOOKUP(A46,comp!A:F,5,FALSE)</f>
        <v>21.88442140260911</v>
      </c>
      <c r="V46" s="3">
        <f>VLOOKUP(A46,comp!A:F,6,FALSE)</f>
        <v>0</v>
      </c>
      <c r="W46" s="3">
        <f>VLOOKUP(A46,ndvi_vegnativa!A:F,2,FALSE)</f>
        <v>0.81884802233118892</v>
      </c>
      <c r="X46" s="3">
        <f>VLOOKUP(A46,ndvi_cana!A:F,2,FALSE)</f>
        <v>0.60620219270343656</v>
      </c>
      <c r="Y46" s="3">
        <f>VLOOKUP(A46,fragmentos!A:F,2,FALSE)</f>
        <v>110.486311994872</v>
      </c>
    </row>
    <row r="47" spans="1:25" x14ac:dyDescent="0.3">
      <c r="A47" s="3" t="s">
        <v>665</v>
      </c>
      <c r="B47" s="3" t="s">
        <v>17</v>
      </c>
      <c r="C47" s="4" t="s">
        <v>622</v>
      </c>
      <c r="D47" s="3" t="s">
        <v>277</v>
      </c>
      <c r="E47" s="5">
        <v>43356</v>
      </c>
      <c r="F47" s="6">
        <v>0.67013888888888884</v>
      </c>
      <c r="G47" s="3">
        <v>95</v>
      </c>
      <c r="H47" s="5">
        <v>43396</v>
      </c>
      <c r="I47" s="6">
        <v>0.48541666666666666</v>
      </c>
      <c r="J47" s="3">
        <v>83</v>
      </c>
      <c r="K47" s="3">
        <v>527</v>
      </c>
      <c r="L47" s="3" t="s">
        <v>123</v>
      </c>
      <c r="M47" s="3">
        <v>15</v>
      </c>
      <c r="N47" s="4" t="s">
        <v>666</v>
      </c>
      <c r="O47" s="4" t="s">
        <v>667</v>
      </c>
      <c r="P47" s="3" t="s">
        <v>668</v>
      </c>
      <c r="R47" s="3">
        <f>VLOOKUP(A47,comp!A:F,2,FALSE)</f>
        <v>21.67075336095375</v>
      </c>
      <c r="S47" s="3">
        <f>VLOOKUP(A47,comp!A:F,3,FALSE)</f>
        <v>58.696203601927799</v>
      </c>
      <c r="T47" s="3">
        <f>VLOOKUP(A47,comp!A:F,4,FALSE)</f>
        <v>11.73585862856177</v>
      </c>
      <c r="U47" s="3">
        <f>VLOOKUP(A47,comp!A:F,5,FALSE)</f>
        <v>4.8983963247935511</v>
      </c>
      <c r="V47" s="3">
        <f>VLOOKUP(A47,comp!A:F,6,FALSE)</f>
        <v>1.417660156139906</v>
      </c>
      <c r="W47" s="3">
        <f>VLOOKUP(A47,ndvi_vegnativa!A:F,2,FALSE)</f>
        <v>0.81116924705706495</v>
      </c>
      <c r="X47" s="3">
        <f>VLOOKUP(A47,ndvi_cana!A:F,2,FALSE)</f>
        <v>0.52611183252253924</v>
      </c>
      <c r="Y47" s="3">
        <f>VLOOKUP(A47,fragmentos!A:F,2,FALSE)</f>
        <v>131.17080292054621</v>
      </c>
    </row>
    <row r="48" spans="1:25" x14ac:dyDescent="0.3">
      <c r="A48" s="3" t="s">
        <v>665</v>
      </c>
      <c r="B48" s="3" t="s">
        <v>24</v>
      </c>
      <c r="C48" s="4" t="s">
        <v>669</v>
      </c>
      <c r="D48" s="3" t="s">
        <v>138</v>
      </c>
      <c r="E48" s="5">
        <v>43356</v>
      </c>
      <c r="F48" s="6">
        <v>0.69722222222222219</v>
      </c>
      <c r="G48" s="3">
        <v>95</v>
      </c>
      <c r="H48" s="5">
        <v>43396</v>
      </c>
      <c r="I48" s="6">
        <v>0.50347222222222221</v>
      </c>
      <c r="J48" s="3">
        <v>84</v>
      </c>
      <c r="K48" s="3">
        <v>219</v>
      </c>
      <c r="L48" s="3" t="s">
        <v>34</v>
      </c>
      <c r="M48" s="3">
        <v>7</v>
      </c>
      <c r="N48" s="4" t="s">
        <v>670</v>
      </c>
      <c r="O48" s="4" t="s">
        <v>671</v>
      </c>
      <c r="P48" s="3" t="s">
        <v>672</v>
      </c>
      <c r="Q48" s="3" t="s">
        <v>673</v>
      </c>
      <c r="R48" s="3">
        <f>VLOOKUP(A48,comp!A:F,2,FALSE)</f>
        <v>21.67075336095375</v>
      </c>
      <c r="S48" s="3">
        <f>VLOOKUP(A48,comp!A:F,3,FALSE)</f>
        <v>58.696203601927799</v>
      </c>
      <c r="T48" s="3">
        <f>VLOOKUP(A48,comp!A:F,4,FALSE)</f>
        <v>11.73585862856177</v>
      </c>
      <c r="U48" s="3">
        <f>VLOOKUP(A48,comp!A:F,5,FALSE)</f>
        <v>4.8983963247935511</v>
      </c>
      <c r="V48" s="3">
        <f>VLOOKUP(A48,comp!A:F,6,FALSE)</f>
        <v>1.417660156139906</v>
      </c>
      <c r="W48" s="3">
        <f>VLOOKUP(A48,ndvi_vegnativa!A:F,2,FALSE)</f>
        <v>0.81116924705706495</v>
      </c>
      <c r="X48" s="3">
        <f>VLOOKUP(A48,ndvi_cana!A:F,2,FALSE)</f>
        <v>0.52611183252253924</v>
      </c>
      <c r="Y48" s="3">
        <f>VLOOKUP(A48,fragmentos!A:F,2,FALSE)</f>
        <v>131.17080292054621</v>
      </c>
    </row>
    <row r="49" spans="1:25" x14ac:dyDescent="0.3">
      <c r="A49" s="3" t="s">
        <v>665</v>
      </c>
      <c r="B49" s="3" t="s">
        <v>31</v>
      </c>
      <c r="C49" s="4" t="s">
        <v>674</v>
      </c>
      <c r="D49" s="3" t="s">
        <v>142</v>
      </c>
      <c r="E49" s="5">
        <v>43356</v>
      </c>
      <c r="F49" s="6">
        <v>0.71597222222222223</v>
      </c>
      <c r="G49" s="3">
        <v>93</v>
      </c>
      <c r="H49" s="5">
        <v>43396</v>
      </c>
      <c r="I49" s="6">
        <v>0.49375000000000002</v>
      </c>
      <c r="J49" s="3">
        <v>83</v>
      </c>
      <c r="K49" s="3">
        <v>236</v>
      </c>
      <c r="L49" s="3" t="s">
        <v>34</v>
      </c>
      <c r="M49" s="3">
        <v>8</v>
      </c>
      <c r="N49" s="4" t="s">
        <v>675</v>
      </c>
      <c r="O49" s="4" t="s">
        <v>676</v>
      </c>
      <c r="P49" s="3" t="s">
        <v>677</v>
      </c>
      <c r="R49" s="3">
        <f>VLOOKUP(A49,comp!A:F,2,FALSE)</f>
        <v>21.67075336095375</v>
      </c>
      <c r="S49" s="3">
        <f>VLOOKUP(A49,comp!A:F,3,FALSE)</f>
        <v>58.696203601927799</v>
      </c>
      <c r="T49" s="3">
        <f>VLOOKUP(A49,comp!A:F,4,FALSE)</f>
        <v>11.73585862856177</v>
      </c>
      <c r="U49" s="3">
        <f>VLOOKUP(A49,comp!A:F,5,FALSE)</f>
        <v>4.8983963247935511</v>
      </c>
      <c r="V49" s="3">
        <f>VLOOKUP(A49,comp!A:F,6,FALSE)</f>
        <v>1.417660156139906</v>
      </c>
      <c r="W49" s="3">
        <f>VLOOKUP(A49,ndvi_vegnativa!A:F,2,FALSE)</f>
        <v>0.81116924705706495</v>
      </c>
      <c r="X49" s="3">
        <f>VLOOKUP(A49,ndvi_cana!A:F,2,FALSE)</f>
        <v>0.52611183252253924</v>
      </c>
      <c r="Y49" s="3">
        <f>VLOOKUP(A49,fragmentos!A:F,2,FALSE)</f>
        <v>131.17080292054621</v>
      </c>
    </row>
    <row r="50" spans="1:25" x14ac:dyDescent="0.3">
      <c r="A50" s="3" t="s">
        <v>60</v>
      </c>
      <c r="B50" s="3" t="s">
        <v>17</v>
      </c>
      <c r="C50" s="4" t="s">
        <v>61</v>
      </c>
      <c r="D50" s="3" t="s">
        <v>62</v>
      </c>
      <c r="E50" s="5">
        <v>42893</v>
      </c>
      <c r="F50" s="6">
        <v>0.3972222222222222</v>
      </c>
      <c r="G50" s="3">
        <v>99</v>
      </c>
      <c r="H50" s="5">
        <v>42920</v>
      </c>
      <c r="I50" s="6">
        <v>0.30486111111111114</v>
      </c>
      <c r="J50" s="3">
        <v>76</v>
      </c>
      <c r="K50" s="3">
        <v>234</v>
      </c>
      <c r="L50" s="3" t="s">
        <v>34</v>
      </c>
      <c r="M50" s="4" t="s">
        <v>63</v>
      </c>
      <c r="N50" s="4" t="s">
        <v>64</v>
      </c>
      <c r="O50" s="4" t="s">
        <v>65</v>
      </c>
      <c r="P50" s="7" t="s">
        <v>66</v>
      </c>
      <c r="Q50" s="7" t="s">
        <v>67</v>
      </c>
      <c r="R50" s="3">
        <f>VLOOKUP(A50,comp!A:F,2,FALSE)</f>
        <v>13.57537490134175</v>
      </c>
      <c r="S50" s="3">
        <f>VLOOKUP(A50,comp!A:F,3,FALSE)</f>
        <v>78.836396437027844</v>
      </c>
      <c r="T50" s="3">
        <f>VLOOKUP(A50,comp!A:F,4,FALSE)</f>
        <v>5.9956026609538844</v>
      </c>
      <c r="U50" s="3">
        <f>VLOOKUP(A50,comp!A:F,5,FALSE)</f>
        <v>1.3417521704814519</v>
      </c>
      <c r="V50" s="3">
        <f>VLOOKUP(A50,comp!A:F,6,FALSE)</f>
        <v>3.9463299131807419E-2</v>
      </c>
      <c r="W50" s="3">
        <f>VLOOKUP(A50,ndvi_vegnativa!A:F,2,FALSE)</f>
        <v>0.77278703436455221</v>
      </c>
      <c r="X50" s="3">
        <f>VLOOKUP(A50,ndvi_cana!A:F,2,FALSE)</f>
        <v>0.63766286409586326</v>
      </c>
      <c r="Y50" s="3">
        <f>VLOOKUP(A50,fragmentos!A:F,2,FALSE)</f>
        <v>248.65921143796169</v>
      </c>
    </row>
    <row r="51" spans="1:25" x14ac:dyDescent="0.3">
      <c r="A51" s="3" t="s">
        <v>60</v>
      </c>
      <c r="B51" s="3" t="s">
        <v>24</v>
      </c>
      <c r="C51" s="4" t="s">
        <v>68</v>
      </c>
      <c r="D51" s="3" t="s">
        <v>69</v>
      </c>
      <c r="E51" s="5">
        <v>42893</v>
      </c>
      <c r="F51" s="6">
        <v>0.33680555555555558</v>
      </c>
      <c r="G51" s="3">
        <v>99</v>
      </c>
      <c r="H51" s="5">
        <v>42920</v>
      </c>
      <c r="I51" s="6">
        <v>0.33750000000000002</v>
      </c>
      <c r="J51" s="3">
        <v>75</v>
      </c>
      <c r="K51" s="3">
        <v>79</v>
      </c>
      <c r="L51" s="3" t="s">
        <v>34</v>
      </c>
      <c r="M51" s="4" t="s">
        <v>70</v>
      </c>
      <c r="N51" s="4" t="s">
        <v>71</v>
      </c>
      <c r="O51" s="4" t="s">
        <v>72</v>
      </c>
      <c r="P51" s="7" t="s">
        <v>73</v>
      </c>
      <c r="R51" s="3">
        <f>VLOOKUP(A51,comp!A:F,2,FALSE)</f>
        <v>13.57537490134175</v>
      </c>
      <c r="S51" s="3">
        <f>VLOOKUP(A51,comp!A:F,3,FALSE)</f>
        <v>78.836396437027844</v>
      </c>
      <c r="T51" s="3">
        <f>VLOOKUP(A51,comp!A:F,4,FALSE)</f>
        <v>5.9956026609538844</v>
      </c>
      <c r="U51" s="3">
        <f>VLOOKUP(A51,comp!A:F,5,FALSE)</f>
        <v>1.3417521704814519</v>
      </c>
      <c r="V51" s="3">
        <f>VLOOKUP(A51,comp!A:F,6,FALSE)</f>
        <v>3.9463299131807419E-2</v>
      </c>
      <c r="W51" s="3">
        <f>VLOOKUP(A51,ndvi_vegnativa!A:F,2,FALSE)</f>
        <v>0.77278703436455221</v>
      </c>
      <c r="X51" s="3">
        <f>VLOOKUP(A51,ndvi_cana!A:F,2,FALSE)</f>
        <v>0.63766286409586326</v>
      </c>
      <c r="Y51" s="3">
        <f>VLOOKUP(A51,fragmentos!A:F,2,FALSE)</f>
        <v>248.65921143796169</v>
      </c>
    </row>
    <row r="52" spans="1:25" x14ac:dyDescent="0.3">
      <c r="A52" s="3" t="s">
        <v>60</v>
      </c>
      <c r="B52" s="3" t="s">
        <v>31</v>
      </c>
      <c r="C52" s="4" t="s">
        <v>74</v>
      </c>
      <c r="D52" s="3" t="s">
        <v>75</v>
      </c>
      <c r="E52" s="5">
        <v>42893</v>
      </c>
      <c r="F52" s="6">
        <v>0.4826388888888889</v>
      </c>
      <c r="G52" s="3">
        <v>99</v>
      </c>
      <c r="H52" s="5">
        <v>42920</v>
      </c>
      <c r="I52" s="6">
        <v>0.4826388888888889</v>
      </c>
      <c r="J52" s="3">
        <v>70</v>
      </c>
      <c r="K52" s="3">
        <v>131</v>
      </c>
      <c r="L52" s="3" t="s">
        <v>34</v>
      </c>
      <c r="M52" s="4" t="s">
        <v>42</v>
      </c>
      <c r="N52" s="4" t="s">
        <v>76</v>
      </c>
      <c r="O52" s="4" t="s">
        <v>77</v>
      </c>
      <c r="P52" s="7" t="s">
        <v>78</v>
      </c>
      <c r="Q52" s="3" t="s">
        <v>79</v>
      </c>
      <c r="R52" s="3">
        <f>VLOOKUP(A52,comp!A:F,2,FALSE)</f>
        <v>13.57537490134175</v>
      </c>
      <c r="S52" s="3">
        <f>VLOOKUP(A52,comp!A:F,3,FALSE)</f>
        <v>78.836396437027844</v>
      </c>
      <c r="T52" s="3">
        <f>VLOOKUP(A52,comp!A:F,4,FALSE)</f>
        <v>5.9956026609538844</v>
      </c>
      <c r="U52" s="3">
        <f>VLOOKUP(A52,comp!A:F,5,FALSE)</f>
        <v>1.3417521704814519</v>
      </c>
      <c r="V52" s="3">
        <f>VLOOKUP(A52,comp!A:F,6,FALSE)</f>
        <v>3.9463299131807419E-2</v>
      </c>
      <c r="W52" s="3">
        <f>VLOOKUP(A52,ndvi_vegnativa!A:F,2,FALSE)</f>
        <v>0.77278703436455221</v>
      </c>
      <c r="X52" s="3">
        <f>VLOOKUP(A52,ndvi_cana!A:F,2,FALSE)</f>
        <v>0.63766286409586326</v>
      </c>
      <c r="Y52" s="3">
        <f>VLOOKUP(A52,fragmentos!A:F,2,FALSE)</f>
        <v>248.65921143796169</v>
      </c>
    </row>
    <row r="53" spans="1:25" x14ac:dyDescent="0.3">
      <c r="A53" s="3" t="s">
        <v>80</v>
      </c>
      <c r="B53" s="3" t="s">
        <v>17</v>
      </c>
      <c r="C53" s="4" t="s">
        <v>81</v>
      </c>
      <c r="D53" s="3" t="s">
        <v>82</v>
      </c>
      <c r="E53" s="5">
        <v>42894</v>
      </c>
      <c r="F53" s="6">
        <v>0.51736111111111116</v>
      </c>
      <c r="G53" s="3">
        <v>99</v>
      </c>
      <c r="H53" s="5">
        <v>42921</v>
      </c>
      <c r="I53" s="6">
        <v>0.31319444444444444</v>
      </c>
      <c r="J53" s="3">
        <v>68</v>
      </c>
      <c r="K53" s="3">
        <v>288</v>
      </c>
      <c r="L53" s="3" t="s">
        <v>83</v>
      </c>
      <c r="M53" s="4" t="s">
        <v>84</v>
      </c>
      <c r="N53" s="4" t="s">
        <v>85</v>
      </c>
      <c r="O53" s="4" t="s">
        <v>86</v>
      </c>
      <c r="P53" s="7" t="s">
        <v>87</v>
      </c>
      <c r="R53" s="3">
        <f>VLOOKUP(A53,comp!A:F,2,FALSE)</f>
        <v>23.426622699472951</v>
      </c>
      <c r="S53" s="3">
        <f>VLOOKUP(A53,comp!A:F,3,FALSE)</f>
        <v>52.619711958513008</v>
      </c>
      <c r="T53" s="3">
        <f>VLOOKUP(A53,comp!A:F,4,FALSE)</f>
        <v>15.963473408303029</v>
      </c>
      <c r="U53" s="3">
        <f>VLOOKUP(A53,comp!A:F,5,FALSE)</f>
        <v>2.5703897860826919</v>
      </c>
      <c r="V53" s="3">
        <f>VLOOKUP(A53,comp!A:F,6,FALSE)</f>
        <v>2.46610862151574</v>
      </c>
      <c r="W53" s="3">
        <f>VLOOKUP(A53,ndvi_vegnativa!A:F,2,FALSE)</f>
        <v>0.61097058266156512</v>
      </c>
      <c r="X53" s="3">
        <f>VLOOKUP(A53,ndvi_cana!A:F,2,FALSE)</f>
        <v>0.43100385193866042</v>
      </c>
      <c r="Y53" s="3">
        <f>VLOOKUP(A53,fragmentos!A:F,2,FALSE)</f>
        <v>148.4318005215309</v>
      </c>
    </row>
    <row r="54" spans="1:25" s="16" customFormat="1" x14ac:dyDescent="0.3">
      <c r="A54" s="16" t="s">
        <v>80</v>
      </c>
      <c r="B54" s="16" t="s">
        <v>24</v>
      </c>
      <c r="C54" s="17" t="s">
        <v>88</v>
      </c>
      <c r="D54" s="16" t="s">
        <v>89</v>
      </c>
      <c r="E54" s="18">
        <v>42894</v>
      </c>
      <c r="F54" s="19">
        <v>0.34861111111111109</v>
      </c>
      <c r="G54" s="16">
        <v>99</v>
      </c>
      <c r="H54" s="18">
        <v>42921</v>
      </c>
      <c r="I54" s="19">
        <v>0.30208333333333331</v>
      </c>
      <c r="J54" s="16">
        <v>56</v>
      </c>
      <c r="K54" s="16">
        <v>318</v>
      </c>
      <c r="L54" s="16" t="s">
        <v>83</v>
      </c>
      <c r="M54" s="17" t="s">
        <v>48</v>
      </c>
      <c r="N54" s="17" t="s">
        <v>90</v>
      </c>
      <c r="O54" s="17" t="s">
        <v>91</v>
      </c>
      <c r="P54" s="31" t="s">
        <v>92</v>
      </c>
      <c r="Q54" s="16" t="s">
        <v>93</v>
      </c>
      <c r="R54" s="16">
        <f>VLOOKUP(A54,comp!A:F,2,FALSE)</f>
        <v>23.426622699472951</v>
      </c>
      <c r="S54" s="16">
        <f>VLOOKUP(A54,comp!A:F,3,FALSE)</f>
        <v>52.619711958513008</v>
      </c>
      <c r="T54" s="16">
        <f>VLOOKUP(A54,comp!A:F,4,FALSE)</f>
        <v>15.963473408303029</v>
      </c>
      <c r="U54" s="16">
        <f>VLOOKUP(A54,comp!A:F,5,FALSE)</f>
        <v>2.5703897860826919</v>
      </c>
      <c r="V54" s="16">
        <f>VLOOKUP(A54,comp!A:F,6,FALSE)</f>
        <v>2.46610862151574</v>
      </c>
      <c r="W54" s="16">
        <f>VLOOKUP(A54,ndvi_vegnativa!A:F,2,FALSE)</f>
        <v>0.61097058266156512</v>
      </c>
      <c r="X54" s="16">
        <f>VLOOKUP(A54,ndvi_cana!A:F,2,FALSE)</f>
        <v>0.43100385193866042</v>
      </c>
      <c r="Y54" s="16">
        <f>VLOOKUP(A54,fragmentos!A:F,2,FALSE)</f>
        <v>148.4318005215309</v>
      </c>
    </row>
    <row r="55" spans="1:25" x14ac:dyDescent="0.3">
      <c r="A55" s="3" t="s">
        <v>80</v>
      </c>
      <c r="B55" s="3" t="s">
        <v>31</v>
      </c>
      <c r="C55" s="4" t="s">
        <v>94</v>
      </c>
      <c r="D55" s="3" t="s">
        <v>95</v>
      </c>
      <c r="E55" s="5">
        <v>42894</v>
      </c>
      <c r="F55" s="6">
        <v>0.41319444444444442</v>
      </c>
      <c r="G55" s="3">
        <v>99</v>
      </c>
      <c r="H55" s="5">
        <v>42921</v>
      </c>
      <c r="I55" s="6">
        <v>0.29375000000000001</v>
      </c>
      <c r="J55" s="3">
        <v>76</v>
      </c>
      <c r="K55" s="3">
        <v>196</v>
      </c>
      <c r="L55" s="3" t="s">
        <v>83</v>
      </c>
      <c r="M55" s="4" t="s">
        <v>84</v>
      </c>
      <c r="N55" s="4" t="s">
        <v>96</v>
      </c>
      <c r="O55" s="4" t="s">
        <v>97</v>
      </c>
      <c r="P55" s="7" t="s">
        <v>98</v>
      </c>
      <c r="Q55" s="3" t="s">
        <v>99</v>
      </c>
      <c r="R55" s="3">
        <f>VLOOKUP(A55,comp!A:F,2,FALSE)</f>
        <v>23.426622699472951</v>
      </c>
      <c r="S55" s="3">
        <f>VLOOKUP(A55,comp!A:F,3,FALSE)</f>
        <v>52.619711958513008</v>
      </c>
      <c r="T55" s="3">
        <f>VLOOKUP(A55,comp!A:F,4,FALSE)</f>
        <v>15.963473408303029</v>
      </c>
      <c r="U55" s="3">
        <f>VLOOKUP(A55,comp!A:F,5,FALSE)</f>
        <v>2.5703897860826919</v>
      </c>
      <c r="V55" s="3">
        <f>VLOOKUP(A55,comp!A:F,6,FALSE)</f>
        <v>2.46610862151574</v>
      </c>
      <c r="W55" s="3">
        <f>VLOOKUP(A55,ndvi_vegnativa!A:F,2,FALSE)</f>
        <v>0.61097058266156512</v>
      </c>
      <c r="X55" s="3">
        <f>VLOOKUP(A55,ndvi_cana!A:F,2,FALSE)</f>
        <v>0.43100385193866042</v>
      </c>
      <c r="Y55" s="3">
        <f>VLOOKUP(A55,fragmentos!A:F,2,FALSE)</f>
        <v>148.4318005215309</v>
      </c>
    </row>
    <row r="56" spans="1:25" x14ac:dyDescent="0.3">
      <c r="A56" s="3" t="s">
        <v>236</v>
      </c>
      <c r="B56" s="3" t="s">
        <v>17</v>
      </c>
      <c r="C56" s="4" t="s">
        <v>61</v>
      </c>
      <c r="D56" s="3" t="s">
        <v>237</v>
      </c>
      <c r="E56" s="5">
        <v>42951</v>
      </c>
      <c r="F56" s="6">
        <v>0.56041666666666667</v>
      </c>
      <c r="G56" s="3">
        <v>91</v>
      </c>
      <c r="H56" s="5">
        <v>42983</v>
      </c>
      <c r="I56" s="6">
        <v>0.30763888888888891</v>
      </c>
      <c r="J56" s="3">
        <v>71</v>
      </c>
      <c r="K56" s="3">
        <v>275</v>
      </c>
      <c r="L56" s="3" t="s">
        <v>34</v>
      </c>
      <c r="M56" s="3">
        <v>15</v>
      </c>
      <c r="N56" s="4" t="s">
        <v>238</v>
      </c>
      <c r="O56" s="4" t="s">
        <v>239</v>
      </c>
      <c r="P56" s="3" t="s">
        <v>240</v>
      </c>
      <c r="Q56" s="3" t="s">
        <v>241</v>
      </c>
      <c r="R56" s="3">
        <f>VLOOKUP(A56,comp!A:F,2,FALSE)</f>
        <v>22.593646946080781</v>
      </c>
      <c r="S56" s="3">
        <f>VLOOKUP(A56,comp!A:F,3,FALSE)</f>
        <v>64.164717156627859</v>
      </c>
      <c r="T56" s="3">
        <f>VLOOKUP(A56,comp!A:F,4,FALSE)</f>
        <v>7.511485667578004</v>
      </c>
      <c r="U56" s="3">
        <f>VLOOKUP(A56,comp!A:F,5,FALSE)</f>
        <v>4.9945037909749432</v>
      </c>
      <c r="V56" s="3">
        <f>VLOOKUP(A56,comp!A:F,6,FALSE)</f>
        <v>0.21421122354068611</v>
      </c>
      <c r="W56" s="3">
        <f>VLOOKUP(A56,ndvi_vegnativa!A:F,2,FALSE)</f>
        <v>0.80065931816794578</v>
      </c>
      <c r="X56" s="3">
        <f>VLOOKUP(A56,ndvi_cana!A:F,2,FALSE)</f>
        <v>0.65322346727453429</v>
      </c>
      <c r="Y56" s="3">
        <f>VLOOKUP(A56,fragmentos!A:F,2,FALSE)</f>
        <v>251.85771763945249</v>
      </c>
    </row>
    <row r="57" spans="1:25" x14ac:dyDescent="0.3">
      <c r="A57" s="3" t="s">
        <v>236</v>
      </c>
      <c r="B57" s="3" t="s">
        <v>24</v>
      </c>
      <c r="C57" s="4" t="s">
        <v>74</v>
      </c>
      <c r="D57" s="3" t="s">
        <v>82</v>
      </c>
      <c r="E57" s="5">
        <v>42951</v>
      </c>
      <c r="F57" s="6">
        <v>0.60486111111111107</v>
      </c>
      <c r="G57" s="3">
        <v>92</v>
      </c>
      <c r="H57" s="5">
        <v>42983</v>
      </c>
      <c r="I57" s="6">
        <v>0.3263888888888889</v>
      </c>
      <c r="J57" s="3">
        <v>79</v>
      </c>
      <c r="K57" s="3">
        <v>155</v>
      </c>
      <c r="L57" s="3" t="s">
        <v>34</v>
      </c>
      <c r="M57" s="3">
        <v>15</v>
      </c>
      <c r="N57" s="4" t="s">
        <v>242</v>
      </c>
      <c r="O57" s="4" t="s">
        <v>243</v>
      </c>
      <c r="P57" s="3" t="s">
        <v>244</v>
      </c>
      <c r="R57" s="3">
        <f>VLOOKUP(A57,comp!A:F,2,FALSE)</f>
        <v>22.593646946080781</v>
      </c>
      <c r="S57" s="3">
        <f>VLOOKUP(A57,comp!A:F,3,FALSE)</f>
        <v>64.164717156627859</v>
      </c>
      <c r="T57" s="3">
        <f>VLOOKUP(A57,comp!A:F,4,FALSE)</f>
        <v>7.511485667578004</v>
      </c>
      <c r="U57" s="3">
        <f>VLOOKUP(A57,comp!A:F,5,FALSE)</f>
        <v>4.9945037909749432</v>
      </c>
      <c r="V57" s="3">
        <f>VLOOKUP(A57,comp!A:F,6,FALSE)</f>
        <v>0.21421122354068611</v>
      </c>
      <c r="W57" s="3">
        <f>VLOOKUP(A57,ndvi_vegnativa!A:F,2,FALSE)</f>
        <v>0.80065931816794578</v>
      </c>
      <c r="X57" s="3">
        <f>VLOOKUP(A57,ndvi_cana!A:F,2,FALSE)</f>
        <v>0.65322346727453429</v>
      </c>
      <c r="Y57" s="3">
        <f>VLOOKUP(A57,fragmentos!A:F,2,FALSE)</f>
        <v>251.85771763945249</v>
      </c>
    </row>
    <row r="58" spans="1:25" x14ac:dyDescent="0.3">
      <c r="A58" s="3" t="s">
        <v>236</v>
      </c>
      <c r="B58" s="3" t="s">
        <v>31</v>
      </c>
      <c r="C58" s="4" t="s">
        <v>68</v>
      </c>
      <c r="D58" s="3" t="s">
        <v>95</v>
      </c>
      <c r="E58" s="5">
        <v>42951</v>
      </c>
      <c r="F58" s="6">
        <v>0.67777777777777781</v>
      </c>
      <c r="G58" s="3">
        <v>92</v>
      </c>
      <c r="H58" s="5">
        <v>42983</v>
      </c>
      <c r="I58" s="6">
        <v>0.31458333333333333</v>
      </c>
      <c r="J58" s="3" t="s">
        <v>163</v>
      </c>
      <c r="K58" s="3">
        <v>202</v>
      </c>
      <c r="L58" s="3" t="s">
        <v>34</v>
      </c>
      <c r="M58" s="3">
        <v>8</v>
      </c>
      <c r="N58" s="4" t="s">
        <v>245</v>
      </c>
      <c r="O58" s="4" t="s">
        <v>246</v>
      </c>
      <c r="P58" s="3" t="s">
        <v>247</v>
      </c>
      <c r="Q58" s="3" t="s">
        <v>248</v>
      </c>
      <c r="R58" s="3">
        <f>VLOOKUP(A58,comp!A:F,2,FALSE)</f>
        <v>22.593646946080781</v>
      </c>
      <c r="S58" s="3">
        <f>VLOOKUP(A58,comp!A:F,3,FALSE)</f>
        <v>64.164717156627859</v>
      </c>
      <c r="T58" s="3">
        <f>VLOOKUP(A58,comp!A:F,4,FALSE)</f>
        <v>7.511485667578004</v>
      </c>
      <c r="U58" s="3">
        <f>VLOOKUP(A58,comp!A:F,5,FALSE)</f>
        <v>4.9945037909749432</v>
      </c>
      <c r="V58" s="3">
        <f>VLOOKUP(A58,comp!A:F,6,FALSE)</f>
        <v>0.21421122354068611</v>
      </c>
      <c r="W58" s="3">
        <f>VLOOKUP(A58,ndvi_vegnativa!A:F,2,FALSE)</f>
        <v>0.80065931816794578</v>
      </c>
      <c r="X58" s="3">
        <f>VLOOKUP(A58,ndvi_cana!A:F,2,FALSE)</f>
        <v>0.65322346727453429</v>
      </c>
      <c r="Y58" s="3">
        <f>VLOOKUP(A58,fragmentos!A:F,2,FALSE)</f>
        <v>251.85771763945249</v>
      </c>
    </row>
    <row r="59" spans="1:25" x14ac:dyDescent="0.3">
      <c r="A59" s="3" t="s">
        <v>447</v>
      </c>
      <c r="B59" s="3" t="s">
        <v>17</v>
      </c>
      <c r="C59" s="4" t="s">
        <v>25</v>
      </c>
      <c r="D59" s="3" t="s">
        <v>173</v>
      </c>
      <c r="E59" s="5">
        <v>43227</v>
      </c>
      <c r="F59" s="6">
        <v>0.39444444444444443</v>
      </c>
      <c r="G59" s="3">
        <v>97</v>
      </c>
      <c r="H59" s="5">
        <v>43259</v>
      </c>
      <c r="I59" s="6">
        <v>0.33750000000000002</v>
      </c>
      <c r="J59" s="3">
        <v>77</v>
      </c>
      <c r="K59" s="3">
        <v>172</v>
      </c>
      <c r="L59" s="3" t="s">
        <v>83</v>
      </c>
      <c r="M59" s="3">
        <v>10</v>
      </c>
      <c r="N59" s="4" t="s">
        <v>448</v>
      </c>
      <c r="O59" s="4" t="s">
        <v>449</v>
      </c>
      <c r="P59" s="3" t="s">
        <v>450</v>
      </c>
      <c r="Q59" s="3" t="s">
        <v>79</v>
      </c>
      <c r="R59" s="3">
        <f>VLOOKUP(A59,comp!A:F,2,FALSE)</f>
        <v>41.162213955585607</v>
      </c>
      <c r="S59" s="3">
        <f>VLOOKUP(A59,comp!A:F,3,FALSE)</f>
        <v>32.056701611994143</v>
      </c>
      <c r="T59" s="3">
        <f>VLOOKUP(A59,comp!A:F,4,FALSE)</f>
        <v>19.800473452823809</v>
      </c>
      <c r="U59" s="3">
        <f>VLOOKUP(A59,comp!A:F,5,FALSE)</f>
        <v>2.474354638710405</v>
      </c>
      <c r="V59" s="3">
        <f>VLOOKUP(A59,comp!A:F,6,FALSE)</f>
        <v>7.8908803967985566E-2</v>
      </c>
      <c r="W59" s="3">
        <f>VLOOKUP(A59,ndvi_vegnativa!A:F,2,FALSE)</f>
        <v>0.83257489017125141</v>
      </c>
      <c r="X59" s="3">
        <f>VLOOKUP(A59,ndvi_cana!A:F,2,FALSE)</f>
        <v>0.55512290947682597</v>
      </c>
      <c r="Y59" s="3">
        <f>VLOOKUP(A59,fragmentos!A:F,2,FALSE)</f>
        <v>132.5495936266951</v>
      </c>
    </row>
    <row r="60" spans="1:25" x14ac:dyDescent="0.3">
      <c r="A60" s="3" t="s">
        <v>447</v>
      </c>
      <c r="B60" s="3" t="s">
        <v>24</v>
      </c>
      <c r="C60" s="4" t="s">
        <v>61</v>
      </c>
      <c r="D60" s="3" t="s">
        <v>133</v>
      </c>
      <c r="E60" s="5">
        <v>43227</v>
      </c>
      <c r="F60" s="6">
        <v>0.42222222222222222</v>
      </c>
      <c r="G60" s="3">
        <v>97</v>
      </c>
      <c r="H60" s="5">
        <v>43259</v>
      </c>
      <c r="I60" s="6">
        <v>0.37569444444444444</v>
      </c>
      <c r="J60" s="3">
        <v>83</v>
      </c>
      <c r="K60" s="3">
        <v>362</v>
      </c>
      <c r="L60" s="3" t="s">
        <v>123</v>
      </c>
      <c r="M60" s="3">
        <v>13.5</v>
      </c>
      <c r="N60" s="4" t="s">
        <v>451</v>
      </c>
      <c r="O60" s="4" t="s">
        <v>452</v>
      </c>
      <c r="P60" s="3" t="s">
        <v>453</v>
      </c>
      <c r="R60" s="3">
        <f>VLOOKUP(A60,comp!A:F,2,FALSE)</f>
        <v>41.162213955585607</v>
      </c>
      <c r="S60" s="3">
        <f>VLOOKUP(A60,comp!A:F,3,FALSE)</f>
        <v>32.056701611994143</v>
      </c>
      <c r="T60" s="3">
        <f>VLOOKUP(A60,comp!A:F,4,FALSE)</f>
        <v>19.800473452823809</v>
      </c>
      <c r="U60" s="3">
        <f>VLOOKUP(A60,comp!A:F,5,FALSE)</f>
        <v>2.474354638710405</v>
      </c>
      <c r="V60" s="3">
        <f>VLOOKUP(A60,comp!A:F,6,FALSE)</f>
        <v>7.8908803967985566E-2</v>
      </c>
      <c r="W60" s="3">
        <f>VLOOKUP(A60,ndvi_vegnativa!A:F,2,FALSE)</f>
        <v>0.83257489017125141</v>
      </c>
      <c r="X60" s="3">
        <f>VLOOKUP(A60,ndvi_cana!A:F,2,FALSE)</f>
        <v>0.55512290947682597</v>
      </c>
      <c r="Y60" s="3">
        <f>VLOOKUP(A60,fragmentos!A:F,2,FALSE)</f>
        <v>132.5495936266951</v>
      </c>
    </row>
    <row r="61" spans="1:25" x14ac:dyDescent="0.3">
      <c r="A61" s="3" t="s">
        <v>447</v>
      </c>
      <c r="B61" s="3" t="s">
        <v>31</v>
      </c>
      <c r="C61" s="4" t="s">
        <v>107</v>
      </c>
      <c r="D61" s="3" t="s">
        <v>454</v>
      </c>
      <c r="E61" s="5">
        <v>43227</v>
      </c>
      <c r="F61" s="6">
        <v>0.4777777777777778</v>
      </c>
      <c r="G61" s="3">
        <v>97</v>
      </c>
      <c r="H61" s="5">
        <v>43259</v>
      </c>
      <c r="I61" s="6">
        <v>0.36736111111111114</v>
      </c>
      <c r="J61" s="3">
        <v>81</v>
      </c>
      <c r="K61" s="3">
        <v>927</v>
      </c>
      <c r="L61" s="3" t="s">
        <v>34</v>
      </c>
      <c r="M61" s="3">
        <v>8</v>
      </c>
      <c r="N61" s="4" t="s">
        <v>455</v>
      </c>
      <c r="O61" s="4" t="s">
        <v>456</v>
      </c>
      <c r="P61" s="3" t="s">
        <v>457</v>
      </c>
      <c r="Q61" s="3" t="s">
        <v>410</v>
      </c>
      <c r="R61" s="3">
        <f>VLOOKUP(A61,comp!A:F,2,FALSE)</f>
        <v>41.162213955585607</v>
      </c>
      <c r="S61" s="3">
        <f>VLOOKUP(A61,comp!A:F,3,FALSE)</f>
        <v>32.056701611994143</v>
      </c>
      <c r="T61" s="3">
        <f>VLOOKUP(A61,comp!A:F,4,FALSE)</f>
        <v>19.800473452823809</v>
      </c>
      <c r="U61" s="3">
        <f>VLOOKUP(A61,comp!A:F,5,FALSE)</f>
        <v>2.474354638710405</v>
      </c>
      <c r="V61" s="3">
        <f>VLOOKUP(A61,comp!A:F,6,FALSE)</f>
        <v>7.8908803967985566E-2</v>
      </c>
      <c r="W61" s="3">
        <f>VLOOKUP(A61,ndvi_vegnativa!A:F,2,FALSE)</f>
        <v>0.83257489017125141</v>
      </c>
      <c r="X61" s="3">
        <f>VLOOKUP(A61,ndvi_cana!A:F,2,FALSE)</f>
        <v>0.55512290947682597</v>
      </c>
      <c r="Y61" s="3">
        <f>VLOOKUP(A61,fragmentos!A:F,2,FALSE)</f>
        <v>132.5495936266951</v>
      </c>
    </row>
    <row r="62" spans="1:25" x14ac:dyDescent="0.3">
      <c r="A62" s="3" t="s">
        <v>172</v>
      </c>
      <c r="B62" s="3" t="s">
        <v>17</v>
      </c>
      <c r="C62" s="4" t="s">
        <v>74</v>
      </c>
      <c r="D62" s="3" t="s">
        <v>173</v>
      </c>
      <c r="E62" s="5">
        <v>42923</v>
      </c>
      <c r="F62" s="6">
        <v>0.3263888888888889</v>
      </c>
      <c r="G62" s="3">
        <v>94</v>
      </c>
      <c r="H62" s="5">
        <v>42951</v>
      </c>
      <c r="I62" s="6">
        <v>0.31111111111111112</v>
      </c>
      <c r="J62" s="3">
        <v>59</v>
      </c>
      <c r="K62" s="3">
        <v>279</v>
      </c>
      <c r="L62" s="3" t="s">
        <v>115</v>
      </c>
      <c r="M62" s="4" t="s">
        <v>174</v>
      </c>
      <c r="N62" s="4" t="s">
        <v>175</v>
      </c>
      <c r="O62" s="4" t="s">
        <v>176</v>
      </c>
      <c r="P62" s="3" t="s">
        <v>177</v>
      </c>
      <c r="R62" s="3">
        <f>VLOOKUP(A62,comp!A:F,2,FALSE)</f>
        <v>28.174882463894601</v>
      </c>
      <c r="S62" s="3">
        <f>VLOOKUP(A62,comp!A:F,3,FALSE)</f>
        <v>53.455702260634553</v>
      </c>
      <c r="T62" s="3">
        <f>VLOOKUP(A62,comp!A:F,4,FALSE)</f>
        <v>8.7581993750175968</v>
      </c>
      <c r="U62" s="3">
        <f>VLOOKUP(A62,comp!A:F,5,FALSE)</f>
        <v>9.5915092480504498</v>
      </c>
      <c r="V62" s="3">
        <f>VLOOKUP(A62,comp!A:F,6,FALSE)</f>
        <v>0</v>
      </c>
      <c r="W62" s="3">
        <f>VLOOKUP(A62,ndvi_vegnativa!A:F,2,FALSE)</f>
        <v>0.83714981451522807</v>
      </c>
      <c r="X62" s="3">
        <f>VLOOKUP(A62,ndvi_cana!A:F,2,FALSE)</f>
        <v>0.68471158936546417</v>
      </c>
      <c r="Y62" s="3">
        <f>VLOOKUP(A62,fragmentos!A:F,2,FALSE)</f>
        <v>249.94292243785119</v>
      </c>
    </row>
    <row r="63" spans="1:25" x14ac:dyDescent="0.3">
      <c r="A63" s="3" t="s">
        <v>172</v>
      </c>
      <c r="B63" s="3" t="s">
        <v>24</v>
      </c>
      <c r="C63" s="4" t="s">
        <v>68</v>
      </c>
      <c r="D63" s="3" t="s">
        <v>178</v>
      </c>
      <c r="E63" s="5">
        <v>42923</v>
      </c>
      <c r="F63" s="6">
        <v>0.35416666666666669</v>
      </c>
      <c r="G63" s="3">
        <v>91</v>
      </c>
      <c r="H63" s="5">
        <v>42951</v>
      </c>
      <c r="I63" s="6">
        <v>0.37638888888888888</v>
      </c>
      <c r="J63" s="3">
        <v>78</v>
      </c>
      <c r="K63" s="3">
        <v>285</v>
      </c>
      <c r="L63" s="3" t="s">
        <v>115</v>
      </c>
      <c r="M63" s="3">
        <v>10</v>
      </c>
      <c r="N63" s="4" t="s">
        <v>179</v>
      </c>
      <c r="O63" s="4" t="s">
        <v>180</v>
      </c>
      <c r="P63" s="3" t="s">
        <v>181</v>
      </c>
      <c r="R63" s="3">
        <f>VLOOKUP(A63,comp!A:F,2,FALSE)</f>
        <v>28.174882463894601</v>
      </c>
      <c r="S63" s="3">
        <f>VLOOKUP(A63,comp!A:F,3,FALSE)</f>
        <v>53.455702260634553</v>
      </c>
      <c r="T63" s="3">
        <f>VLOOKUP(A63,comp!A:F,4,FALSE)</f>
        <v>8.7581993750175968</v>
      </c>
      <c r="U63" s="3">
        <f>VLOOKUP(A63,comp!A:F,5,FALSE)</f>
        <v>9.5915092480504498</v>
      </c>
      <c r="V63" s="3">
        <f>VLOOKUP(A63,comp!A:F,6,FALSE)</f>
        <v>0</v>
      </c>
      <c r="W63" s="3">
        <f>VLOOKUP(A63,ndvi_vegnativa!A:F,2,FALSE)</f>
        <v>0.83714981451522807</v>
      </c>
      <c r="X63" s="3">
        <f>VLOOKUP(A63,ndvi_cana!A:F,2,FALSE)</f>
        <v>0.68471158936546417</v>
      </c>
      <c r="Y63" s="3">
        <f>VLOOKUP(A63,fragmentos!A:F,2,FALSE)</f>
        <v>249.94292243785119</v>
      </c>
    </row>
    <row r="64" spans="1:25" x14ac:dyDescent="0.3">
      <c r="A64" s="3" t="s">
        <v>172</v>
      </c>
      <c r="B64" s="3" t="s">
        <v>31</v>
      </c>
      <c r="C64" s="4" t="s">
        <v>61</v>
      </c>
      <c r="D64" s="3" t="s">
        <v>182</v>
      </c>
      <c r="E64" s="5">
        <v>42923</v>
      </c>
      <c r="F64" s="6">
        <v>0.44444444444444442</v>
      </c>
      <c r="G64" s="3">
        <v>92</v>
      </c>
      <c r="H64" s="5">
        <v>42951</v>
      </c>
      <c r="I64" s="6">
        <v>0.39861111111111114</v>
      </c>
      <c r="J64" s="3">
        <v>77</v>
      </c>
      <c r="K64" s="3">
        <v>267</v>
      </c>
      <c r="L64" s="3" t="s">
        <v>166</v>
      </c>
      <c r="M64" s="3">
        <v>10</v>
      </c>
      <c r="N64" s="4" t="s">
        <v>183</v>
      </c>
      <c r="O64" s="4" t="s">
        <v>184</v>
      </c>
      <c r="P64" s="7" t="s">
        <v>185</v>
      </c>
      <c r="R64" s="3">
        <f>VLOOKUP(A64,comp!A:F,2,FALSE)</f>
        <v>28.174882463894601</v>
      </c>
      <c r="S64" s="3">
        <f>VLOOKUP(A64,comp!A:F,3,FALSE)</f>
        <v>53.455702260634553</v>
      </c>
      <c r="T64" s="3">
        <f>VLOOKUP(A64,comp!A:F,4,FALSE)</f>
        <v>8.7581993750175968</v>
      </c>
      <c r="U64" s="3">
        <f>VLOOKUP(A64,comp!A:F,5,FALSE)</f>
        <v>9.5915092480504498</v>
      </c>
      <c r="V64" s="3">
        <f>VLOOKUP(A64,comp!A:F,6,FALSE)</f>
        <v>0</v>
      </c>
      <c r="W64" s="3">
        <f>VLOOKUP(A64,ndvi_vegnativa!A:F,2,FALSE)</f>
        <v>0.83714981451522807</v>
      </c>
      <c r="X64" s="3">
        <f>VLOOKUP(A64,ndvi_cana!A:F,2,FALSE)</f>
        <v>0.68471158936546417</v>
      </c>
      <c r="Y64" s="3">
        <f>VLOOKUP(A64,fragmentos!A:F,2,FALSE)</f>
        <v>249.94292243785119</v>
      </c>
    </row>
    <row r="65" spans="1:25" x14ac:dyDescent="0.3">
      <c r="A65" s="3" t="s">
        <v>294</v>
      </c>
      <c r="B65" s="3" t="s">
        <v>17</v>
      </c>
      <c r="C65" s="4" t="s">
        <v>74</v>
      </c>
      <c r="D65" s="3" t="s">
        <v>159</v>
      </c>
      <c r="E65" s="5">
        <v>42983</v>
      </c>
      <c r="F65" s="6">
        <v>0.46180555555555558</v>
      </c>
      <c r="G65" s="3">
        <v>93</v>
      </c>
      <c r="H65" s="5">
        <v>43012</v>
      </c>
      <c r="I65" s="6">
        <v>0.35069444444444442</v>
      </c>
      <c r="J65" s="3">
        <v>80</v>
      </c>
      <c r="K65" s="3">
        <v>204</v>
      </c>
      <c r="L65" s="3" t="s">
        <v>34</v>
      </c>
      <c r="M65" s="3">
        <v>5</v>
      </c>
      <c r="N65" s="4" t="s">
        <v>295</v>
      </c>
      <c r="O65" s="4" t="s">
        <v>296</v>
      </c>
      <c r="P65" s="3" t="s">
        <v>297</v>
      </c>
      <c r="Q65" s="3" t="s">
        <v>298</v>
      </c>
      <c r="R65" s="3">
        <f>VLOOKUP(A65,comp!A:F,2,FALSE)</f>
        <v>17.139476575485251</v>
      </c>
      <c r="S65" s="3">
        <f>VLOOKUP(A65,comp!A:F,3,FALSE)</f>
        <v>67.16060512155957</v>
      </c>
      <c r="T65" s="3">
        <f>VLOOKUP(A65,comp!A:F,4,FALSE)</f>
        <v>11.88832859114855</v>
      </c>
      <c r="U65" s="3">
        <f>VLOOKUP(A65,comp!A:F,5,FALSE)</f>
        <v>1.0057187931374481</v>
      </c>
      <c r="V65" s="3">
        <f>VLOOKUP(A65,comp!A:F,6,FALSE)</f>
        <v>1.231089951263487</v>
      </c>
      <c r="W65" s="3">
        <f>VLOOKUP(A65,ndvi_vegnativa!A:F,2,FALSE)</f>
        <v>0.76870673722423788</v>
      </c>
      <c r="X65" s="3">
        <f>VLOOKUP(A65,ndvi_cana!A:F,2,FALSE)</f>
        <v>0.62687552296682592</v>
      </c>
      <c r="Y65" s="3">
        <f>VLOOKUP(A65,fragmentos!A:F,2,FALSE)</f>
        <v>114.7012808863429</v>
      </c>
    </row>
    <row r="66" spans="1:25" x14ac:dyDescent="0.3">
      <c r="A66" s="3" t="s">
        <v>294</v>
      </c>
      <c r="B66" s="3" t="s">
        <v>24</v>
      </c>
      <c r="C66" s="4" t="s">
        <v>61</v>
      </c>
      <c r="D66" s="3" t="s">
        <v>165</v>
      </c>
      <c r="E66" s="5">
        <v>42983</v>
      </c>
      <c r="F66" s="6">
        <v>0.56874999999999998</v>
      </c>
      <c r="G66" s="3">
        <v>91</v>
      </c>
      <c r="H66" s="5">
        <v>43012</v>
      </c>
      <c r="I66" s="6">
        <v>0.34027777777777779</v>
      </c>
      <c r="J66" s="3">
        <v>75</v>
      </c>
      <c r="K66" s="3">
        <v>271</v>
      </c>
      <c r="L66" s="3" t="s">
        <v>299</v>
      </c>
      <c r="M66" s="3">
        <v>12</v>
      </c>
      <c r="N66" s="4" t="s">
        <v>300</v>
      </c>
      <c r="O66" s="4" t="s">
        <v>301</v>
      </c>
      <c r="P66" s="3" t="s">
        <v>302</v>
      </c>
      <c r="R66" s="3">
        <f>VLOOKUP(A66,comp!A:F,2,FALSE)</f>
        <v>17.139476575485251</v>
      </c>
      <c r="S66" s="3">
        <f>VLOOKUP(A66,comp!A:F,3,FALSE)</f>
        <v>67.16060512155957</v>
      </c>
      <c r="T66" s="3">
        <f>VLOOKUP(A66,comp!A:F,4,FALSE)</f>
        <v>11.88832859114855</v>
      </c>
      <c r="U66" s="3">
        <f>VLOOKUP(A66,comp!A:F,5,FALSE)</f>
        <v>1.0057187931374481</v>
      </c>
      <c r="V66" s="3">
        <f>VLOOKUP(A66,comp!A:F,6,FALSE)</f>
        <v>1.231089951263487</v>
      </c>
      <c r="W66" s="3">
        <f>VLOOKUP(A66,ndvi_vegnativa!A:F,2,FALSE)</f>
        <v>0.76870673722423788</v>
      </c>
      <c r="X66" s="3">
        <f>VLOOKUP(A66,ndvi_cana!A:F,2,FALSE)</f>
        <v>0.62687552296682592</v>
      </c>
      <c r="Y66" s="3">
        <f>VLOOKUP(A66,fragmentos!A:F,2,FALSE)</f>
        <v>114.7012808863429</v>
      </c>
    </row>
    <row r="67" spans="1:25" x14ac:dyDescent="0.3">
      <c r="A67" s="3" t="s">
        <v>294</v>
      </c>
      <c r="B67" s="3" t="s">
        <v>31</v>
      </c>
      <c r="C67" s="4" t="s">
        <v>68</v>
      </c>
      <c r="D67" s="3" t="s">
        <v>151</v>
      </c>
      <c r="E67" s="5">
        <v>42983</v>
      </c>
      <c r="F67" s="6">
        <v>0.66666666666666663</v>
      </c>
      <c r="G67" s="3">
        <v>92</v>
      </c>
      <c r="H67" s="5">
        <v>43012</v>
      </c>
      <c r="I67" s="6">
        <v>0.32777777777777778</v>
      </c>
      <c r="J67" s="3">
        <v>74</v>
      </c>
      <c r="K67" s="3">
        <v>7035</v>
      </c>
      <c r="L67" s="3" t="s">
        <v>34</v>
      </c>
      <c r="M67" s="3">
        <v>4</v>
      </c>
      <c r="N67" s="4" t="s">
        <v>303</v>
      </c>
      <c r="O67" s="4" t="s">
        <v>304</v>
      </c>
      <c r="P67" s="3" t="s">
        <v>305</v>
      </c>
      <c r="R67" s="3">
        <f>VLOOKUP(A67,comp!A:F,2,FALSE)</f>
        <v>17.139476575485251</v>
      </c>
      <c r="S67" s="3">
        <f>VLOOKUP(A67,comp!A:F,3,FALSE)</f>
        <v>67.16060512155957</v>
      </c>
      <c r="T67" s="3">
        <f>VLOOKUP(A67,comp!A:F,4,FALSE)</f>
        <v>11.88832859114855</v>
      </c>
      <c r="U67" s="3">
        <f>VLOOKUP(A67,comp!A:F,5,FALSE)</f>
        <v>1.0057187931374481</v>
      </c>
      <c r="V67" s="3">
        <f>VLOOKUP(A67,comp!A:F,6,FALSE)</f>
        <v>1.231089951263487</v>
      </c>
      <c r="W67" s="3">
        <f>VLOOKUP(A67,ndvi_vegnativa!A:F,2,FALSE)</f>
        <v>0.76870673722423788</v>
      </c>
      <c r="X67" s="3">
        <f>VLOOKUP(A67,ndvi_cana!A:F,2,FALSE)</f>
        <v>0.62687552296682592</v>
      </c>
      <c r="Y67" s="3">
        <f>VLOOKUP(A67,fragmentos!A:F,2,FALSE)</f>
        <v>114.7012808863429</v>
      </c>
    </row>
    <row r="68" spans="1:25" x14ac:dyDescent="0.3">
      <c r="A68" s="3" t="s">
        <v>260</v>
      </c>
      <c r="B68" s="3" t="s">
        <v>17</v>
      </c>
      <c r="C68" s="4" t="s">
        <v>46</v>
      </c>
      <c r="D68" s="3" t="s">
        <v>182</v>
      </c>
      <c r="E68" s="5">
        <v>42978</v>
      </c>
      <c r="F68" s="6">
        <v>0.45555555555555555</v>
      </c>
      <c r="G68" s="3">
        <v>99</v>
      </c>
      <c r="H68" s="5">
        <v>43007</v>
      </c>
      <c r="I68" s="6">
        <v>0.32430555555555557</v>
      </c>
      <c r="J68" s="3">
        <v>87</v>
      </c>
      <c r="K68" s="3">
        <v>158</v>
      </c>
      <c r="L68" s="3" t="s">
        <v>166</v>
      </c>
      <c r="M68" s="4" t="s">
        <v>152</v>
      </c>
      <c r="N68" s="4" t="s">
        <v>261</v>
      </c>
      <c r="O68" s="4" t="s">
        <v>262</v>
      </c>
      <c r="P68" s="3" t="s">
        <v>263</v>
      </c>
      <c r="R68" s="3">
        <f>VLOOKUP(A68,comp!A:F,2,FALSE)</f>
        <v>9.0847610459873778</v>
      </c>
      <c r="S68" s="3">
        <f>VLOOKUP(A68,comp!A:F,3,FALSE)</f>
        <v>72.27795311091073</v>
      </c>
      <c r="T68" s="3">
        <f>VLOOKUP(A68,comp!A:F,4,FALSE)</f>
        <v>16.326645626690709</v>
      </c>
      <c r="U68" s="3">
        <f>VLOOKUP(A68,comp!A:F,5,FALSE)</f>
        <v>0.42831379621280441</v>
      </c>
      <c r="V68" s="3">
        <f>VLOOKUP(A68,comp!A:F,6,FALSE)</f>
        <v>1.634355275022543</v>
      </c>
      <c r="W68" s="3">
        <f>VLOOKUP(A68,ndvi_vegnativa!A:F,2,FALSE)</f>
        <v>0.79043094329492025</v>
      </c>
      <c r="X68" s="3">
        <f>VLOOKUP(A68,ndvi_cana!A:F,2,FALSE)</f>
        <v>0.54491345043709671</v>
      </c>
      <c r="Y68" s="3">
        <f>VLOOKUP(A68,fragmentos!A:F,2,FALSE)</f>
        <v>132.66394124126589</v>
      </c>
    </row>
    <row r="69" spans="1:25" s="9" customFormat="1" x14ac:dyDescent="0.3">
      <c r="A69" s="3" t="s">
        <v>260</v>
      </c>
      <c r="B69" s="3" t="s">
        <v>24</v>
      </c>
      <c r="C69" s="4" t="s">
        <v>40</v>
      </c>
      <c r="D69" s="3" t="s">
        <v>133</v>
      </c>
      <c r="E69" s="5">
        <v>42978</v>
      </c>
      <c r="F69" s="6">
        <v>0.58194444444444449</v>
      </c>
      <c r="G69" s="3">
        <v>94</v>
      </c>
      <c r="H69" s="5">
        <v>43007</v>
      </c>
      <c r="I69" s="6">
        <v>0.33819444444444446</v>
      </c>
      <c r="J69" s="3">
        <v>81</v>
      </c>
      <c r="K69" s="3">
        <v>112</v>
      </c>
      <c r="L69" s="3" t="s">
        <v>166</v>
      </c>
      <c r="M69" s="4" t="s">
        <v>264</v>
      </c>
      <c r="N69" s="4" t="s">
        <v>265</v>
      </c>
      <c r="O69" s="4" t="s">
        <v>266</v>
      </c>
      <c r="P69" s="3" t="s">
        <v>267</v>
      </c>
      <c r="Q69" s="3" t="s">
        <v>268</v>
      </c>
      <c r="R69" s="3">
        <f>VLOOKUP(A69,comp!A:F,2,FALSE)</f>
        <v>9.0847610459873778</v>
      </c>
      <c r="S69" s="3">
        <f>VLOOKUP(A69,comp!A:F,3,FALSE)</f>
        <v>72.27795311091073</v>
      </c>
      <c r="T69" s="3">
        <f>VLOOKUP(A69,comp!A:F,4,FALSE)</f>
        <v>16.326645626690709</v>
      </c>
      <c r="U69" s="3">
        <f>VLOOKUP(A69,comp!A:F,5,FALSE)</f>
        <v>0.42831379621280441</v>
      </c>
      <c r="V69" s="3">
        <f>VLOOKUP(A69,comp!A:F,6,FALSE)</f>
        <v>1.634355275022543</v>
      </c>
      <c r="W69" s="3">
        <f>VLOOKUP(A69,ndvi_vegnativa!A:F,2,FALSE)</f>
        <v>0.79043094329492025</v>
      </c>
      <c r="X69" s="3">
        <f>VLOOKUP(A69,ndvi_cana!A:F,2,FALSE)</f>
        <v>0.54491345043709671</v>
      </c>
      <c r="Y69" s="3">
        <f>VLOOKUP(A69,fragmentos!A:F,2,FALSE)</f>
        <v>132.66394124126589</v>
      </c>
    </row>
    <row r="70" spans="1:25" x14ac:dyDescent="0.3">
      <c r="A70" s="3" t="s">
        <v>260</v>
      </c>
      <c r="B70" s="3" t="s">
        <v>31</v>
      </c>
      <c r="C70" s="4" t="s">
        <v>52</v>
      </c>
      <c r="D70" s="3" t="s">
        <v>269</v>
      </c>
      <c r="E70" s="5">
        <v>42978</v>
      </c>
      <c r="F70" s="6">
        <v>0.64722222222222225</v>
      </c>
      <c r="G70" s="3">
        <v>91</v>
      </c>
      <c r="H70" s="5">
        <v>43007</v>
      </c>
      <c r="I70" s="6">
        <v>0.35</v>
      </c>
      <c r="J70" s="3">
        <v>77</v>
      </c>
      <c r="K70" s="3">
        <v>177</v>
      </c>
      <c r="L70" s="3" t="s">
        <v>83</v>
      </c>
      <c r="M70" s="4" t="s">
        <v>48</v>
      </c>
      <c r="N70" s="4" t="s">
        <v>270</v>
      </c>
      <c r="O70" s="4" t="s">
        <v>271</v>
      </c>
      <c r="P70" s="3" t="s">
        <v>272</v>
      </c>
      <c r="Q70" s="3" t="s">
        <v>268</v>
      </c>
      <c r="R70" s="3">
        <f>VLOOKUP(A70,comp!A:F,2,FALSE)</f>
        <v>9.0847610459873778</v>
      </c>
      <c r="S70" s="3">
        <f>VLOOKUP(A70,comp!A:F,3,FALSE)</f>
        <v>72.27795311091073</v>
      </c>
      <c r="T70" s="3">
        <f>VLOOKUP(A70,comp!A:F,4,FALSE)</f>
        <v>16.326645626690709</v>
      </c>
      <c r="U70" s="3">
        <f>VLOOKUP(A70,comp!A:F,5,FALSE)</f>
        <v>0.42831379621280441</v>
      </c>
      <c r="V70" s="3">
        <f>VLOOKUP(A70,comp!A:F,6,FALSE)</f>
        <v>1.634355275022543</v>
      </c>
      <c r="W70" s="3">
        <f>VLOOKUP(A70,ndvi_vegnativa!A:F,2,FALSE)</f>
        <v>0.79043094329492025</v>
      </c>
      <c r="X70" s="3">
        <f>VLOOKUP(A70,ndvi_cana!A:F,2,FALSE)</f>
        <v>0.54491345043709671</v>
      </c>
      <c r="Y70" s="3">
        <f>VLOOKUP(A70,fragmentos!A:F,2,FALSE)</f>
        <v>132.66394124126589</v>
      </c>
    </row>
    <row r="71" spans="1:25" x14ac:dyDescent="0.3">
      <c r="A71" s="3" t="s">
        <v>150</v>
      </c>
      <c r="B71" s="3" t="s">
        <v>17</v>
      </c>
      <c r="C71" s="4" t="s">
        <v>81</v>
      </c>
      <c r="D71" s="3" t="s">
        <v>151</v>
      </c>
      <c r="E71" s="5">
        <v>42921</v>
      </c>
      <c r="F71" s="6">
        <v>0.38819444444444445</v>
      </c>
      <c r="G71" s="3">
        <v>95</v>
      </c>
      <c r="H71" s="5">
        <v>42949</v>
      </c>
      <c r="I71" s="6">
        <v>0.30486111111111114</v>
      </c>
      <c r="J71" s="3">
        <v>68</v>
      </c>
      <c r="K71" s="3">
        <v>99</v>
      </c>
      <c r="L71" s="3" t="s">
        <v>83</v>
      </c>
      <c r="M71" s="4" t="s">
        <v>152</v>
      </c>
      <c r="N71" s="4" t="s">
        <v>153</v>
      </c>
      <c r="O71" s="4" t="s">
        <v>154</v>
      </c>
      <c r="P71" s="3" t="s">
        <v>155</v>
      </c>
      <c r="R71" s="3">
        <f>VLOOKUP(A71,comp!A:F,2,FALSE)</f>
        <v>14.46308913790191</v>
      </c>
      <c r="S71" s="3">
        <f>VLOOKUP(A71,comp!A:F,3,FALSE)</f>
        <v>36.618052818289307</v>
      </c>
      <c r="T71" s="3">
        <f>VLOOKUP(A71,comp!A:F,4,FALSE)</f>
        <v>18.655329691987159</v>
      </c>
      <c r="U71" s="3">
        <f>VLOOKUP(A71,comp!A:F,5,FALSE)</f>
        <v>3.8938003265949659</v>
      </c>
      <c r="V71" s="3">
        <f>VLOOKUP(A71,comp!A:F,6,FALSE)</f>
        <v>0.27310096289205471</v>
      </c>
      <c r="W71" s="3">
        <f>VLOOKUP(A71,ndvi_vegnativa!A:F,2,FALSE)</f>
        <v>0.75751391177030025</v>
      </c>
      <c r="X71" s="3">
        <f>VLOOKUP(A71,ndvi_cana!A:F,2,FALSE)</f>
        <v>0.47623802330645831</v>
      </c>
      <c r="Y71" s="3">
        <f>VLOOKUP(A71,fragmentos!A:F,2,FALSE)</f>
        <v>210.77221776497211</v>
      </c>
    </row>
    <row r="72" spans="1:25" x14ac:dyDescent="0.3">
      <c r="A72" s="3" t="s">
        <v>150</v>
      </c>
      <c r="B72" s="3" t="s">
        <v>24</v>
      </c>
      <c r="C72" s="4" t="s">
        <v>88</v>
      </c>
      <c r="D72" s="3" t="s">
        <v>156</v>
      </c>
      <c r="E72" s="5">
        <v>42921</v>
      </c>
      <c r="F72" s="6">
        <v>0.47083333333333333</v>
      </c>
      <c r="G72" s="3">
        <v>95</v>
      </c>
      <c r="H72" s="5">
        <v>42949</v>
      </c>
      <c r="I72" s="6">
        <v>0.31736111111111109</v>
      </c>
      <c r="J72" s="3">
        <v>74</v>
      </c>
      <c r="K72" s="3">
        <v>116</v>
      </c>
      <c r="L72" s="3" t="s">
        <v>83</v>
      </c>
      <c r="M72" s="4" t="s">
        <v>35</v>
      </c>
      <c r="N72" s="4" t="s">
        <v>157</v>
      </c>
      <c r="O72" s="4" t="s">
        <v>158</v>
      </c>
      <c r="P72" s="3" t="s">
        <v>141</v>
      </c>
      <c r="R72" s="3">
        <f>VLOOKUP(A72,comp!A:F,2,FALSE)</f>
        <v>14.46308913790191</v>
      </c>
      <c r="S72" s="3">
        <f>VLOOKUP(A72,comp!A:F,3,FALSE)</f>
        <v>36.618052818289307</v>
      </c>
      <c r="T72" s="3">
        <f>VLOOKUP(A72,comp!A:F,4,FALSE)</f>
        <v>18.655329691987159</v>
      </c>
      <c r="U72" s="3">
        <f>VLOOKUP(A72,comp!A:F,5,FALSE)</f>
        <v>3.8938003265949659</v>
      </c>
      <c r="V72" s="3">
        <f>VLOOKUP(A72,comp!A:F,6,FALSE)</f>
        <v>0.27310096289205471</v>
      </c>
      <c r="W72" s="3">
        <f>VLOOKUP(A72,ndvi_vegnativa!A:F,2,FALSE)</f>
        <v>0.75751391177030025</v>
      </c>
      <c r="X72" s="3">
        <f>VLOOKUP(A72,ndvi_cana!A:F,2,FALSE)</f>
        <v>0.47623802330645831</v>
      </c>
      <c r="Y72" s="3">
        <f>VLOOKUP(A72,fragmentos!A:F,2,FALSE)</f>
        <v>210.77221776497211</v>
      </c>
    </row>
    <row r="73" spans="1:25" x14ac:dyDescent="0.3">
      <c r="A73" s="3" t="s">
        <v>150</v>
      </c>
      <c r="B73" s="3" t="s">
        <v>31</v>
      </c>
      <c r="C73" s="4" t="s">
        <v>94</v>
      </c>
      <c r="D73" s="3" t="s">
        <v>159</v>
      </c>
      <c r="E73" s="5">
        <v>42921</v>
      </c>
      <c r="F73" s="6">
        <v>0.53194444444444444</v>
      </c>
      <c r="G73" s="3">
        <v>94</v>
      </c>
      <c r="H73" s="5">
        <v>42949</v>
      </c>
      <c r="I73" s="6">
        <v>0.32916666666666666</v>
      </c>
      <c r="J73" s="3">
        <v>68</v>
      </c>
      <c r="K73" s="3">
        <v>90</v>
      </c>
      <c r="L73" s="3" t="s">
        <v>83</v>
      </c>
      <c r="M73" s="4" t="s">
        <v>84</v>
      </c>
      <c r="N73" s="4" t="s">
        <v>160</v>
      </c>
      <c r="O73" s="4" t="s">
        <v>161</v>
      </c>
      <c r="P73" s="3" t="s">
        <v>141</v>
      </c>
      <c r="R73" s="3">
        <f>VLOOKUP(A73,comp!A:F,2,FALSE)</f>
        <v>14.46308913790191</v>
      </c>
      <c r="S73" s="3">
        <f>VLOOKUP(A73,comp!A:F,3,FALSE)</f>
        <v>36.618052818289307</v>
      </c>
      <c r="T73" s="3">
        <f>VLOOKUP(A73,comp!A:F,4,FALSE)</f>
        <v>18.655329691987159</v>
      </c>
      <c r="U73" s="3">
        <f>VLOOKUP(A73,comp!A:F,5,FALSE)</f>
        <v>3.8938003265949659</v>
      </c>
      <c r="V73" s="3">
        <f>VLOOKUP(A73,comp!A:F,6,FALSE)</f>
        <v>0.27310096289205471</v>
      </c>
      <c r="W73" s="3">
        <f>VLOOKUP(A73,ndvi_vegnativa!A:F,2,FALSE)</f>
        <v>0.75751391177030025</v>
      </c>
      <c r="X73" s="3">
        <f>VLOOKUP(A73,ndvi_cana!A:F,2,FALSE)</f>
        <v>0.47623802330645831</v>
      </c>
      <c r="Y73" s="3">
        <f>VLOOKUP(A73,fragmentos!A:F,2,FALSE)</f>
        <v>210.77221776497211</v>
      </c>
    </row>
    <row r="74" spans="1:25" s="16" customFormat="1" x14ac:dyDescent="0.3">
      <c r="A74" s="16" t="s">
        <v>349</v>
      </c>
      <c r="B74" s="16" t="s">
        <v>17</v>
      </c>
      <c r="C74" s="17" t="s">
        <v>68</v>
      </c>
      <c r="D74" s="16" t="s">
        <v>53</v>
      </c>
      <c r="E74" s="18">
        <v>43012</v>
      </c>
      <c r="F74" s="19">
        <v>0.54791666666666672</v>
      </c>
      <c r="G74" s="16">
        <v>90</v>
      </c>
      <c r="H74" s="18">
        <v>43046</v>
      </c>
      <c r="I74" s="19">
        <v>0.33819444444444446</v>
      </c>
      <c r="J74" s="16">
        <v>65</v>
      </c>
      <c r="K74" s="16">
        <v>83</v>
      </c>
      <c r="L74" s="16" t="s">
        <v>34</v>
      </c>
      <c r="M74" s="16">
        <v>20</v>
      </c>
      <c r="N74" s="17" t="s">
        <v>350</v>
      </c>
      <c r="O74" s="17" t="s">
        <v>351</v>
      </c>
      <c r="P74" s="16" t="s">
        <v>352</v>
      </c>
      <c r="R74" s="16">
        <f>VLOOKUP(A74,comp!A:F,2,FALSE)</f>
        <v>20.840137395123602</v>
      </c>
      <c r="S74" s="16">
        <f>VLOOKUP(A74,comp!A:F,3,FALSE)</f>
        <v>55.27338251027647</v>
      </c>
      <c r="T74" s="16">
        <f>VLOOKUP(A74,comp!A:F,4,FALSE)</f>
        <v>19.89132270961203</v>
      </c>
      <c r="U74" s="16">
        <f>VLOOKUP(A74,comp!A:F,5,FALSE)</f>
        <v>2.5170336167577001</v>
      </c>
      <c r="V74" s="16">
        <f>VLOOKUP(A74,comp!A:F,6,FALSE)</f>
        <v>0.54620192578410942</v>
      </c>
      <c r="W74" s="16">
        <f>VLOOKUP(A74,ndvi_vegnativa!A:F,2,FALSE)</f>
        <v>0.8046201160438704</v>
      </c>
      <c r="X74" s="16">
        <f>VLOOKUP(A74,ndvi_cana!A:F,2,FALSE)</f>
        <v>0.68725212359113785</v>
      </c>
      <c r="Y74" s="16">
        <f>VLOOKUP(A74,fragmentos!A:F,2,FALSE)</f>
        <v>134.16564345501459</v>
      </c>
    </row>
    <row r="75" spans="1:25" x14ac:dyDescent="0.3">
      <c r="A75" s="3" t="s">
        <v>349</v>
      </c>
      <c r="B75" s="3" t="s">
        <v>24</v>
      </c>
      <c r="C75" s="4" t="s">
        <v>61</v>
      </c>
      <c r="D75" s="3" t="s">
        <v>69</v>
      </c>
      <c r="E75" s="5">
        <v>43012</v>
      </c>
      <c r="F75" s="6">
        <v>0.60347222222222219</v>
      </c>
      <c r="G75" s="3">
        <v>93</v>
      </c>
      <c r="H75" s="5">
        <v>43046</v>
      </c>
      <c r="I75" s="6">
        <v>0.35347222222222224</v>
      </c>
      <c r="J75" s="3">
        <v>75</v>
      </c>
      <c r="K75" s="3">
        <v>361</v>
      </c>
      <c r="L75" s="3" t="s">
        <v>34</v>
      </c>
      <c r="M75" s="3">
        <v>25</v>
      </c>
      <c r="N75" s="4" t="s">
        <v>353</v>
      </c>
      <c r="O75" s="4" t="s">
        <v>354</v>
      </c>
      <c r="P75" s="3" t="s">
        <v>355</v>
      </c>
      <c r="R75" s="3">
        <f>VLOOKUP(A75,comp!A:F,2,FALSE)</f>
        <v>20.840137395123602</v>
      </c>
      <c r="S75" s="3">
        <f>VLOOKUP(A75,comp!A:F,3,FALSE)</f>
        <v>55.27338251027647</v>
      </c>
      <c r="T75" s="3">
        <f>VLOOKUP(A75,comp!A:F,4,FALSE)</f>
        <v>19.89132270961203</v>
      </c>
      <c r="U75" s="3">
        <f>VLOOKUP(A75,comp!A:F,5,FALSE)</f>
        <v>2.5170336167577001</v>
      </c>
      <c r="V75" s="3">
        <f>VLOOKUP(A75,comp!A:F,6,FALSE)</f>
        <v>0.54620192578410942</v>
      </c>
      <c r="W75" s="3">
        <f>VLOOKUP(A75,ndvi_vegnativa!A:F,2,FALSE)</f>
        <v>0.8046201160438704</v>
      </c>
      <c r="X75" s="3">
        <f>VLOOKUP(A75,ndvi_cana!A:F,2,FALSE)</f>
        <v>0.68725212359113785</v>
      </c>
      <c r="Y75" s="3">
        <f>VLOOKUP(A75,fragmentos!A:F,2,FALSE)</f>
        <v>134.16564345501459</v>
      </c>
    </row>
    <row r="76" spans="1:25" x14ac:dyDescent="0.3">
      <c r="A76" s="3" t="s">
        <v>349</v>
      </c>
      <c r="B76" s="3" t="s">
        <v>31</v>
      </c>
      <c r="C76" s="4" t="s">
        <v>74</v>
      </c>
      <c r="D76" s="3" t="s">
        <v>75</v>
      </c>
      <c r="E76" s="5">
        <v>43012</v>
      </c>
      <c r="F76" s="6">
        <v>0.64375000000000004</v>
      </c>
      <c r="G76" s="3">
        <v>93</v>
      </c>
      <c r="H76" s="5">
        <v>43046</v>
      </c>
      <c r="I76" s="6">
        <v>0.36527777777777776</v>
      </c>
      <c r="J76" s="3">
        <v>79</v>
      </c>
      <c r="K76" s="3">
        <v>404</v>
      </c>
      <c r="L76" s="3" t="s">
        <v>123</v>
      </c>
      <c r="M76" s="3">
        <v>10</v>
      </c>
      <c r="N76" s="4" t="s">
        <v>356</v>
      </c>
      <c r="O76" s="4" t="s">
        <v>357</v>
      </c>
      <c r="P76" s="3" t="s">
        <v>358</v>
      </c>
      <c r="R76" s="3">
        <f>VLOOKUP(A76,comp!A:F,2,FALSE)</f>
        <v>20.840137395123602</v>
      </c>
      <c r="S76" s="3">
        <f>VLOOKUP(A76,comp!A:F,3,FALSE)</f>
        <v>55.27338251027647</v>
      </c>
      <c r="T76" s="3">
        <f>VLOOKUP(A76,comp!A:F,4,FALSE)</f>
        <v>19.89132270961203</v>
      </c>
      <c r="U76" s="3">
        <f>VLOOKUP(A76,comp!A:F,5,FALSE)</f>
        <v>2.5170336167577001</v>
      </c>
      <c r="V76" s="3">
        <f>VLOOKUP(A76,comp!A:F,6,FALSE)</f>
        <v>0.54620192578410942</v>
      </c>
      <c r="W76" s="3">
        <f>VLOOKUP(A76,ndvi_vegnativa!A:F,2,FALSE)</f>
        <v>0.8046201160438704</v>
      </c>
      <c r="X76" s="3">
        <f>VLOOKUP(A76,ndvi_cana!A:F,2,FALSE)</f>
        <v>0.68725212359113785</v>
      </c>
      <c r="Y76" s="3">
        <f>VLOOKUP(A76,fragmentos!A:F,2,FALSE)</f>
        <v>134.16564345501459</v>
      </c>
    </row>
    <row r="77" spans="1:25" x14ac:dyDescent="0.3">
      <c r="A77" s="3" t="s">
        <v>359</v>
      </c>
      <c r="B77" s="3" t="s">
        <v>17</v>
      </c>
      <c r="C77" s="13" t="s">
        <v>113</v>
      </c>
      <c r="D77" s="3" t="s">
        <v>215</v>
      </c>
      <c r="E77" s="5">
        <v>43192</v>
      </c>
      <c r="F77" s="6">
        <v>0.44097222222222221</v>
      </c>
      <c r="G77" s="3">
        <v>99</v>
      </c>
      <c r="H77" s="5">
        <v>43227</v>
      </c>
      <c r="I77" s="6">
        <v>0.72569444444444442</v>
      </c>
      <c r="J77" s="3">
        <v>79</v>
      </c>
      <c r="K77" s="3">
        <v>114</v>
      </c>
      <c r="L77" s="3" t="s">
        <v>123</v>
      </c>
      <c r="M77" s="3">
        <v>19</v>
      </c>
      <c r="N77" s="4" t="s">
        <v>360</v>
      </c>
      <c r="O77" s="4" t="s">
        <v>361</v>
      </c>
      <c r="P77" s="3" t="s">
        <v>362</v>
      </c>
      <c r="Q77" s="3" t="s">
        <v>79</v>
      </c>
      <c r="R77" s="3">
        <f>VLOOKUP(A77,comp!A:F,2,FALSE)</f>
        <v>58.941795962042058</v>
      </c>
      <c r="S77" s="3">
        <f>VLOOKUP(A77,comp!A:F,3,FALSE)</f>
        <v>2.6469180300171771</v>
      </c>
      <c r="T77" s="3">
        <f>VLOOKUP(A77,comp!A:F,4,FALSE)</f>
        <v>20.584011488750601</v>
      </c>
      <c r="U77" s="3">
        <f>VLOOKUP(A77,comp!A:F,5,FALSE)</f>
        <v>17.469658998113371</v>
      </c>
      <c r="V77" s="3">
        <f>VLOOKUP(A77,comp!A:F,6,FALSE)</f>
        <v>0</v>
      </c>
      <c r="W77" s="3">
        <f>VLOOKUP(A77,ndvi_vegnativa!A:F,2,FALSE)</f>
        <v>0.84669763847794677</v>
      </c>
      <c r="X77" s="3">
        <f>VLOOKUP(A77,ndvi_cana!A:F,2,FALSE)</f>
        <v>0.38203451962832752</v>
      </c>
      <c r="Y77" s="3">
        <f>VLOOKUP(A77,fragmentos!A:F,2,FALSE)</f>
        <v>119.890984076348</v>
      </c>
    </row>
    <row r="78" spans="1:25" x14ac:dyDescent="0.3">
      <c r="A78" s="3" t="s">
        <v>359</v>
      </c>
      <c r="B78" s="3" t="s">
        <v>24</v>
      </c>
      <c r="C78" s="13" t="s">
        <v>94</v>
      </c>
      <c r="D78" s="3" t="s">
        <v>82</v>
      </c>
      <c r="E78" s="5">
        <v>43192</v>
      </c>
      <c r="F78" s="6">
        <v>0.47430555555555554</v>
      </c>
      <c r="G78" s="3">
        <v>99</v>
      </c>
      <c r="H78" s="5">
        <v>43227</v>
      </c>
      <c r="I78" s="6">
        <v>0.71388888888888891</v>
      </c>
      <c r="J78" s="3">
        <v>77</v>
      </c>
      <c r="K78" s="3">
        <v>129</v>
      </c>
      <c r="L78" s="3" t="s">
        <v>123</v>
      </c>
      <c r="M78" s="3">
        <v>19</v>
      </c>
      <c r="N78" s="4" t="s">
        <v>363</v>
      </c>
      <c r="O78" s="4" t="s">
        <v>364</v>
      </c>
      <c r="P78" s="3" t="s">
        <v>365</v>
      </c>
      <c r="R78" s="3">
        <f>VLOOKUP(A78,comp!A:F,2,FALSE)</f>
        <v>58.941795962042058</v>
      </c>
      <c r="S78" s="3">
        <f>VLOOKUP(A78,comp!A:F,3,FALSE)</f>
        <v>2.6469180300171771</v>
      </c>
      <c r="T78" s="3">
        <f>VLOOKUP(A78,comp!A:F,4,FALSE)</f>
        <v>20.584011488750601</v>
      </c>
      <c r="U78" s="3">
        <f>VLOOKUP(A78,comp!A:F,5,FALSE)</f>
        <v>17.469658998113371</v>
      </c>
      <c r="V78" s="3">
        <f>VLOOKUP(A78,comp!A:F,6,FALSE)</f>
        <v>0</v>
      </c>
      <c r="W78" s="3">
        <f>VLOOKUP(A78,ndvi_vegnativa!A:F,2,FALSE)</f>
        <v>0.84669763847794677</v>
      </c>
      <c r="X78" s="3">
        <f>VLOOKUP(A78,ndvi_cana!A:F,2,FALSE)</f>
        <v>0.38203451962832752</v>
      </c>
      <c r="Y78" s="3">
        <f>VLOOKUP(A78,fragmentos!A:F,2,FALSE)</f>
        <v>119.890984076348</v>
      </c>
    </row>
    <row r="79" spans="1:25" x14ac:dyDescent="0.3">
      <c r="A79" s="3" t="s">
        <v>359</v>
      </c>
      <c r="B79" s="3" t="s">
        <v>31</v>
      </c>
      <c r="C79" s="13" t="s">
        <v>74</v>
      </c>
      <c r="D79" s="3" t="s">
        <v>366</v>
      </c>
      <c r="E79" s="5">
        <v>43192</v>
      </c>
      <c r="F79" s="6">
        <v>0.57430555555555551</v>
      </c>
      <c r="G79" s="3">
        <v>99</v>
      </c>
      <c r="H79" s="5">
        <v>43227</v>
      </c>
      <c r="I79" s="6">
        <v>0.67708333333333337</v>
      </c>
      <c r="J79" s="3">
        <v>87</v>
      </c>
      <c r="K79" s="3">
        <v>309</v>
      </c>
      <c r="L79" s="3" t="s">
        <v>123</v>
      </c>
      <c r="M79" s="3">
        <v>19</v>
      </c>
      <c r="N79" s="4" t="s">
        <v>367</v>
      </c>
      <c r="O79" s="4" t="s">
        <v>368</v>
      </c>
      <c r="P79" s="3" t="s">
        <v>369</v>
      </c>
      <c r="R79" s="3">
        <f>VLOOKUP(A79,comp!A:F,2,FALSE)</f>
        <v>58.941795962042058</v>
      </c>
      <c r="S79" s="3">
        <f>VLOOKUP(A79,comp!A:F,3,FALSE)</f>
        <v>2.6469180300171771</v>
      </c>
      <c r="T79" s="3">
        <f>VLOOKUP(A79,comp!A:F,4,FALSE)</f>
        <v>20.584011488750601</v>
      </c>
      <c r="U79" s="3">
        <f>VLOOKUP(A79,comp!A:F,5,FALSE)</f>
        <v>17.469658998113371</v>
      </c>
      <c r="V79" s="3">
        <f>VLOOKUP(A79,comp!A:F,6,FALSE)</f>
        <v>0</v>
      </c>
      <c r="W79" s="3">
        <f>VLOOKUP(A79,ndvi_vegnativa!A:F,2,FALSE)</f>
        <v>0.84669763847794677</v>
      </c>
      <c r="X79" s="3">
        <f>VLOOKUP(A79,ndvi_cana!A:F,2,FALSE)</f>
        <v>0.38203451962832752</v>
      </c>
      <c r="Y79" s="3">
        <f>VLOOKUP(A79,fragmentos!A:F,2,FALSE)</f>
        <v>119.890984076348</v>
      </c>
    </row>
    <row r="80" spans="1:25" x14ac:dyDescent="0.3">
      <c r="A80" s="3" t="s">
        <v>401</v>
      </c>
      <c r="B80" s="3" t="s">
        <v>17</v>
      </c>
      <c r="C80" s="4" t="s">
        <v>40</v>
      </c>
      <c r="D80" s="3" t="s">
        <v>19</v>
      </c>
      <c r="E80" s="5">
        <v>43196</v>
      </c>
      <c r="F80" s="6">
        <v>0.42291666666666666</v>
      </c>
      <c r="G80" s="3">
        <v>99</v>
      </c>
      <c r="H80" s="5">
        <v>43223</v>
      </c>
      <c r="I80" s="6">
        <v>0.7006944444444444</v>
      </c>
      <c r="J80" s="3">
        <v>87</v>
      </c>
      <c r="K80" s="3">
        <v>120</v>
      </c>
      <c r="L80" s="3" t="s">
        <v>123</v>
      </c>
      <c r="M80" s="4" t="s">
        <v>84</v>
      </c>
      <c r="N80" s="4" t="s">
        <v>402</v>
      </c>
      <c r="O80" s="4" t="s">
        <v>403</v>
      </c>
      <c r="P80" s="3" t="s">
        <v>404</v>
      </c>
      <c r="R80" s="3">
        <f>VLOOKUP(A80,comp!A:F,2,FALSE)</f>
        <v>23.322908742568959</v>
      </c>
      <c r="S80" s="3">
        <f>VLOOKUP(A80,comp!A:F,3,FALSE)</f>
        <v>19.75600822697433</v>
      </c>
      <c r="T80" s="3">
        <f>VLOOKUP(A80,comp!A:F,4,FALSE)</f>
        <v>32.761389569774323</v>
      </c>
      <c r="U80" s="3">
        <f>VLOOKUP(A80,comp!A:F,5,FALSE)</f>
        <v>3.7922970726622149</v>
      </c>
      <c r="V80" s="3">
        <f>VLOOKUP(A80,comp!A:F,6,FALSE)</f>
        <v>0.27329332544445378</v>
      </c>
      <c r="W80" s="3">
        <f>VLOOKUP(A80,ndvi_vegnativa!A:F,2,FALSE)</f>
        <v>0.76801574172290976</v>
      </c>
      <c r="X80" s="3">
        <f>VLOOKUP(A80,ndvi_cana!A:F,2,FALSE)</f>
        <v>0.62534962632559365</v>
      </c>
      <c r="Y80" s="3">
        <f>VLOOKUP(A80,fragmentos!A:F,2,FALSE)</f>
        <v>118.7132847958371</v>
      </c>
    </row>
    <row r="81" spans="1:25" x14ac:dyDescent="0.3">
      <c r="A81" s="3" t="s">
        <v>401</v>
      </c>
      <c r="B81" s="3" t="s">
        <v>24</v>
      </c>
      <c r="C81" s="4" t="s">
        <v>228</v>
      </c>
      <c r="D81" s="3" t="s">
        <v>41</v>
      </c>
      <c r="E81" s="5">
        <v>43196</v>
      </c>
      <c r="F81" s="6">
        <v>0.48819444444444443</v>
      </c>
      <c r="G81" s="3">
        <v>99</v>
      </c>
      <c r="H81" s="5">
        <v>43223</v>
      </c>
      <c r="I81" s="6">
        <v>0.67500000000000004</v>
      </c>
      <c r="J81" s="3">
        <v>87</v>
      </c>
      <c r="K81" s="3">
        <v>195</v>
      </c>
      <c r="L81" s="3" t="s">
        <v>83</v>
      </c>
      <c r="M81" s="4" t="s">
        <v>152</v>
      </c>
      <c r="N81" s="4" t="s">
        <v>405</v>
      </c>
      <c r="O81" s="4" t="s">
        <v>406</v>
      </c>
      <c r="P81" s="3" t="s">
        <v>407</v>
      </c>
      <c r="R81" s="3">
        <f>VLOOKUP(A81,comp!A:F,2,FALSE)</f>
        <v>23.322908742568959</v>
      </c>
      <c r="S81" s="3">
        <f>VLOOKUP(A81,comp!A:F,3,FALSE)</f>
        <v>19.75600822697433</v>
      </c>
      <c r="T81" s="3">
        <f>VLOOKUP(A81,comp!A:F,4,FALSE)</f>
        <v>32.761389569774323</v>
      </c>
      <c r="U81" s="3">
        <f>VLOOKUP(A81,comp!A:F,5,FALSE)</f>
        <v>3.7922970726622149</v>
      </c>
      <c r="V81" s="3">
        <f>VLOOKUP(A81,comp!A:F,6,FALSE)</f>
        <v>0.27329332544445378</v>
      </c>
      <c r="W81" s="3">
        <f>VLOOKUP(A81,ndvi_vegnativa!A:F,2,FALSE)</f>
        <v>0.76801574172290976</v>
      </c>
      <c r="X81" s="3">
        <f>VLOOKUP(A81,ndvi_cana!A:F,2,FALSE)</f>
        <v>0.62534962632559365</v>
      </c>
      <c r="Y81" s="3">
        <f>VLOOKUP(A81,fragmentos!A:F,2,FALSE)</f>
        <v>118.7132847958371</v>
      </c>
    </row>
    <row r="82" spans="1:25" x14ac:dyDescent="0.3">
      <c r="A82" s="3" t="s">
        <v>401</v>
      </c>
      <c r="B82" s="3" t="s">
        <v>31</v>
      </c>
      <c r="C82" s="4" t="s">
        <v>256</v>
      </c>
      <c r="D82" s="3" t="s">
        <v>229</v>
      </c>
      <c r="E82" s="5">
        <v>43196</v>
      </c>
      <c r="F82" s="6">
        <v>0.56180555555555556</v>
      </c>
      <c r="G82" s="3">
        <v>99</v>
      </c>
      <c r="H82" s="5">
        <v>43223</v>
      </c>
      <c r="I82" s="6">
        <v>0.65347222222222223</v>
      </c>
      <c r="J82" s="3">
        <v>83</v>
      </c>
      <c r="K82" s="3">
        <v>179</v>
      </c>
      <c r="L82" s="3" t="s">
        <v>299</v>
      </c>
      <c r="M82" s="4" t="s">
        <v>152</v>
      </c>
      <c r="N82" s="4" t="s">
        <v>408</v>
      </c>
      <c r="O82" s="4" t="s">
        <v>409</v>
      </c>
      <c r="P82" s="14"/>
      <c r="Q82" s="3" t="s">
        <v>410</v>
      </c>
      <c r="R82" s="3">
        <f>VLOOKUP(A82,comp!A:F,2,FALSE)</f>
        <v>23.322908742568959</v>
      </c>
      <c r="S82" s="3">
        <f>VLOOKUP(A82,comp!A:F,3,FALSE)</f>
        <v>19.75600822697433</v>
      </c>
      <c r="T82" s="3">
        <f>VLOOKUP(A82,comp!A:F,4,FALSE)</f>
        <v>32.761389569774323</v>
      </c>
      <c r="U82" s="3">
        <f>VLOOKUP(A82,comp!A:F,5,FALSE)</f>
        <v>3.7922970726622149</v>
      </c>
      <c r="V82" s="3">
        <f>VLOOKUP(A82,comp!A:F,6,FALSE)</f>
        <v>0.27329332544445378</v>
      </c>
      <c r="W82" s="3">
        <f>VLOOKUP(A82,ndvi_vegnativa!A:F,2,FALSE)</f>
        <v>0.76801574172290976</v>
      </c>
      <c r="X82" s="3">
        <f>VLOOKUP(A82,ndvi_cana!A:F,2,FALSE)</f>
        <v>0.62534962632559365</v>
      </c>
      <c r="Y82" s="3">
        <f>VLOOKUP(A82,fragmentos!A:F,2,FALSE)</f>
        <v>118.7132847958371</v>
      </c>
    </row>
    <row r="83" spans="1:25" x14ac:dyDescent="0.3">
      <c r="A83" s="3" t="s">
        <v>186</v>
      </c>
      <c r="B83" s="3" t="s">
        <v>17</v>
      </c>
      <c r="C83" s="4" t="s">
        <v>32</v>
      </c>
      <c r="D83" s="3" t="s">
        <v>47</v>
      </c>
      <c r="E83" s="5">
        <v>42947</v>
      </c>
      <c r="F83" s="6">
        <v>0.65972222222222221</v>
      </c>
      <c r="G83" s="3">
        <v>93</v>
      </c>
      <c r="H83" s="5">
        <v>42977</v>
      </c>
      <c r="I83" s="6">
        <v>0.34791666666666665</v>
      </c>
      <c r="J83" s="3">
        <v>72</v>
      </c>
      <c r="K83" s="3">
        <v>60</v>
      </c>
      <c r="L83" s="3" t="s">
        <v>83</v>
      </c>
      <c r="M83" s="3">
        <v>10</v>
      </c>
      <c r="N83" s="4" t="s">
        <v>187</v>
      </c>
      <c r="O83" s="4" t="s">
        <v>188</v>
      </c>
      <c r="P83" s="3" t="s">
        <v>189</v>
      </c>
      <c r="Q83" s="3" t="s">
        <v>190</v>
      </c>
      <c r="R83" s="3">
        <f>VLOOKUP(A83,comp!A:F,2,FALSE)</f>
        <v>8.4396384218974401</v>
      </c>
      <c r="S83" s="3">
        <f>VLOOKUP(A83,comp!A:F,3,FALSE)</f>
        <v>79.868209850468872</v>
      </c>
      <c r="T83" s="3">
        <f>VLOOKUP(A83,comp!A:F,4,FALSE)</f>
        <v>7.7778716454056482</v>
      </c>
      <c r="U83" s="3">
        <f>VLOOKUP(A83,comp!A:F,5,FALSE)</f>
        <v>3.0976317197488099E-2</v>
      </c>
      <c r="V83" s="3">
        <f>VLOOKUP(A83,comp!A:F,6,FALSE)</f>
        <v>3.3567063726732558</v>
      </c>
      <c r="W83" s="3">
        <f>VLOOKUP(A83,ndvi_vegnativa!A:F,2,FALSE)</f>
        <v>0.75505286840741848</v>
      </c>
      <c r="X83" s="3">
        <f>VLOOKUP(A83,ndvi_cana!A:F,2,FALSE)</f>
        <v>0.50847300136730378</v>
      </c>
      <c r="Y83" s="3">
        <f>VLOOKUP(A83,fragmentos!A:F,2,FALSE)</f>
        <v>126.6060348720416</v>
      </c>
    </row>
    <row r="84" spans="1:25" x14ac:dyDescent="0.3">
      <c r="A84" s="3" t="s">
        <v>186</v>
      </c>
      <c r="B84" s="3" t="s">
        <v>24</v>
      </c>
      <c r="C84" s="4" t="s">
        <v>25</v>
      </c>
      <c r="D84" s="3" t="s">
        <v>75</v>
      </c>
      <c r="E84" s="5">
        <v>42947</v>
      </c>
      <c r="F84" s="6">
        <v>0.58888888888888891</v>
      </c>
      <c r="G84" s="3">
        <v>93</v>
      </c>
      <c r="H84" s="5">
        <v>42977</v>
      </c>
      <c r="I84" s="6">
        <v>0.35694444444444445</v>
      </c>
      <c r="J84" s="3">
        <v>77</v>
      </c>
      <c r="K84" s="3">
        <v>98</v>
      </c>
      <c r="L84" s="3" t="s">
        <v>34</v>
      </c>
      <c r="M84" s="3">
        <v>10</v>
      </c>
      <c r="N84" s="4" t="s">
        <v>191</v>
      </c>
      <c r="O84" s="4" t="s">
        <v>192</v>
      </c>
      <c r="P84" s="7" t="s">
        <v>193</v>
      </c>
      <c r="R84" s="3">
        <f>VLOOKUP(A84,comp!A:F,2,FALSE)</f>
        <v>8.4396384218974401</v>
      </c>
      <c r="S84" s="3">
        <f>VLOOKUP(A84,comp!A:F,3,FALSE)</f>
        <v>79.868209850468872</v>
      </c>
      <c r="T84" s="3">
        <f>VLOOKUP(A84,comp!A:F,4,FALSE)</f>
        <v>7.7778716454056482</v>
      </c>
      <c r="U84" s="3">
        <f>VLOOKUP(A84,comp!A:F,5,FALSE)</f>
        <v>3.0976317197488099E-2</v>
      </c>
      <c r="V84" s="3">
        <f>VLOOKUP(A84,comp!A:F,6,FALSE)</f>
        <v>3.3567063726732558</v>
      </c>
      <c r="W84" s="3">
        <f>VLOOKUP(A84,ndvi_vegnativa!A:F,2,FALSE)</f>
        <v>0.75505286840741848</v>
      </c>
      <c r="X84" s="3">
        <f>VLOOKUP(A84,ndvi_cana!A:F,2,FALSE)</f>
        <v>0.50847300136730378</v>
      </c>
      <c r="Y84" s="3">
        <f>VLOOKUP(A84,fragmentos!A:F,2,FALSE)</f>
        <v>126.6060348720416</v>
      </c>
    </row>
    <row r="85" spans="1:25" x14ac:dyDescent="0.3">
      <c r="A85" s="3" t="s">
        <v>186</v>
      </c>
      <c r="B85" s="3" t="s">
        <v>31</v>
      </c>
      <c r="C85" s="4" t="s">
        <v>18</v>
      </c>
      <c r="D85" s="3" t="s">
        <v>62</v>
      </c>
      <c r="E85" s="5">
        <v>42947</v>
      </c>
      <c r="F85" s="6">
        <v>0.46180555555555558</v>
      </c>
      <c r="G85" s="3">
        <v>91</v>
      </c>
      <c r="H85" s="5">
        <v>42977</v>
      </c>
      <c r="I85" s="6">
        <v>0.36875000000000002</v>
      </c>
      <c r="J85" s="3">
        <v>72</v>
      </c>
      <c r="K85" s="3">
        <v>131</v>
      </c>
      <c r="L85" s="3" t="s">
        <v>83</v>
      </c>
      <c r="M85" s="3">
        <v>10</v>
      </c>
      <c r="N85" s="4" t="s">
        <v>194</v>
      </c>
      <c r="O85" s="4" t="s">
        <v>195</v>
      </c>
      <c r="P85" s="3" t="s">
        <v>196</v>
      </c>
      <c r="R85" s="3">
        <f>VLOOKUP(A85,comp!A:F,2,FALSE)</f>
        <v>8.4396384218974401</v>
      </c>
      <c r="S85" s="3">
        <f>VLOOKUP(A85,comp!A:F,3,FALSE)</f>
        <v>79.868209850468872</v>
      </c>
      <c r="T85" s="3">
        <f>VLOOKUP(A85,comp!A:F,4,FALSE)</f>
        <v>7.7778716454056482</v>
      </c>
      <c r="U85" s="3">
        <f>VLOOKUP(A85,comp!A:F,5,FALSE)</f>
        <v>3.0976317197488099E-2</v>
      </c>
      <c r="V85" s="3">
        <f>VLOOKUP(A85,comp!A:F,6,FALSE)</f>
        <v>3.3567063726732558</v>
      </c>
      <c r="W85" s="3">
        <f>VLOOKUP(A85,ndvi_vegnativa!A:F,2,FALSE)</f>
        <v>0.75505286840741848</v>
      </c>
      <c r="X85" s="3">
        <f>VLOOKUP(A85,ndvi_cana!A:F,2,FALSE)</f>
        <v>0.50847300136730378</v>
      </c>
      <c r="Y85" s="3">
        <f>VLOOKUP(A85,fragmentos!A:F,2,FALSE)</f>
        <v>126.6060348720416</v>
      </c>
    </row>
    <row r="86" spans="1:25" x14ac:dyDescent="0.3">
      <c r="A86" s="3" t="s">
        <v>162</v>
      </c>
      <c r="B86" s="3" t="s">
        <v>24</v>
      </c>
      <c r="C86" s="4" t="s">
        <v>113</v>
      </c>
      <c r="D86" s="3" t="s">
        <v>165</v>
      </c>
      <c r="E86" s="5">
        <v>42922</v>
      </c>
      <c r="F86" s="6">
        <v>0.46736111111111112</v>
      </c>
      <c r="G86" s="3">
        <v>94</v>
      </c>
      <c r="H86" s="5">
        <v>42950</v>
      </c>
      <c r="I86" s="6">
        <v>0.34513888888888888</v>
      </c>
      <c r="J86" s="3">
        <v>66</v>
      </c>
      <c r="K86" s="3">
        <v>135</v>
      </c>
      <c r="L86" s="3" t="s">
        <v>166</v>
      </c>
      <c r="M86" s="4" t="s">
        <v>84</v>
      </c>
      <c r="N86" s="4" t="s">
        <v>167</v>
      </c>
      <c r="O86" s="4" t="s">
        <v>164</v>
      </c>
      <c r="P86" s="3" t="s">
        <v>168</v>
      </c>
      <c r="Q86" s="3" t="s">
        <v>79</v>
      </c>
      <c r="R86" s="3">
        <f>VLOOKUP(A86,comp!A:F,2,FALSE)</f>
        <v>36.665915238954007</v>
      </c>
      <c r="S86" s="3">
        <f>VLOOKUP(A86,comp!A:F,3,FALSE)</f>
        <v>50.69600991884581</v>
      </c>
      <c r="T86" s="3">
        <f>VLOOKUP(A86,comp!A:F,4,FALSE)</f>
        <v>11.113615870153289</v>
      </c>
      <c r="U86" s="3">
        <f>VLOOKUP(A86,comp!A:F,5,FALSE)</f>
        <v>1.361023444544635</v>
      </c>
      <c r="V86" s="3">
        <f>VLOOKUP(A86,comp!A:F,6,FALSE)</f>
        <v>2.536068530207394E-2</v>
      </c>
      <c r="W86" s="3">
        <f>VLOOKUP(A86,ndvi_vegnativa!A:F,2,FALSE)</f>
        <v>0.83519888877507109</v>
      </c>
      <c r="X86" s="3">
        <f>VLOOKUP(A86,ndvi_cana!A:F,2,FALSE)</f>
        <v>0.4670531494055507</v>
      </c>
      <c r="Y86" s="3">
        <f>VLOOKUP(A86,fragmentos!A:F,2,FALSE)</f>
        <v>145.38852252700119</v>
      </c>
    </row>
    <row r="87" spans="1:25" x14ac:dyDescent="0.3">
      <c r="A87" s="3" t="s">
        <v>162</v>
      </c>
      <c r="B87" s="3" t="s">
        <v>31</v>
      </c>
      <c r="C87" s="4" t="s">
        <v>107</v>
      </c>
      <c r="D87" s="3" t="s">
        <v>169</v>
      </c>
      <c r="E87" s="5">
        <v>42922</v>
      </c>
      <c r="F87" s="6">
        <v>0.52569444444444446</v>
      </c>
      <c r="G87" s="3">
        <v>97</v>
      </c>
      <c r="H87" s="5">
        <v>42950</v>
      </c>
      <c r="I87" s="6">
        <v>0.36666666666666664</v>
      </c>
      <c r="J87" s="3">
        <v>68</v>
      </c>
      <c r="K87" s="3">
        <v>289</v>
      </c>
      <c r="L87" s="3" t="s">
        <v>123</v>
      </c>
      <c r="M87" s="4" t="s">
        <v>42</v>
      </c>
      <c r="N87" s="4" t="s">
        <v>170</v>
      </c>
      <c r="O87" s="4" t="s">
        <v>171</v>
      </c>
      <c r="R87" s="3">
        <f>VLOOKUP(A87,comp!A:F,2,FALSE)</f>
        <v>36.665915238954007</v>
      </c>
      <c r="S87" s="3">
        <f>VLOOKUP(A87,comp!A:F,3,FALSE)</f>
        <v>50.69600991884581</v>
      </c>
      <c r="T87" s="3">
        <f>VLOOKUP(A87,comp!A:F,4,FALSE)</f>
        <v>11.113615870153289</v>
      </c>
      <c r="U87" s="3">
        <f>VLOOKUP(A87,comp!A:F,5,FALSE)</f>
        <v>1.361023444544635</v>
      </c>
      <c r="V87" s="3">
        <f>VLOOKUP(A87,comp!A:F,6,FALSE)</f>
        <v>2.536068530207394E-2</v>
      </c>
      <c r="W87" s="3">
        <f>VLOOKUP(A87,ndvi_vegnativa!A:F,2,FALSE)</f>
        <v>0.83519888877507109</v>
      </c>
      <c r="X87" s="3">
        <f>VLOOKUP(A87,ndvi_cana!A:F,2,FALSE)</f>
        <v>0.4670531494055507</v>
      </c>
      <c r="Y87" s="3">
        <f>VLOOKUP(A87,fragmentos!A:F,2,FALSE)</f>
        <v>145.38852252700119</v>
      </c>
    </row>
    <row r="88" spans="1:25" x14ac:dyDescent="0.3">
      <c r="A88" s="3" t="s">
        <v>39</v>
      </c>
      <c r="B88" s="3" t="s">
        <v>17</v>
      </c>
      <c r="C88" s="4" t="s">
        <v>40</v>
      </c>
      <c r="D88" s="3" t="s">
        <v>41</v>
      </c>
      <c r="E88" s="5">
        <v>42892</v>
      </c>
      <c r="F88" s="6">
        <v>0.34722222222222221</v>
      </c>
      <c r="G88" s="3">
        <v>99</v>
      </c>
      <c r="H88" s="5">
        <v>42920</v>
      </c>
      <c r="I88" s="6">
        <v>0.3611111111111111</v>
      </c>
      <c r="J88" s="3">
        <v>87</v>
      </c>
      <c r="K88" s="3">
        <v>306</v>
      </c>
      <c r="L88" s="3" t="s">
        <v>34</v>
      </c>
      <c r="M88" s="4" t="s">
        <v>42</v>
      </c>
      <c r="N88" s="4" t="s">
        <v>43</v>
      </c>
      <c r="O88" s="4" t="s">
        <v>44</v>
      </c>
      <c r="P88" s="7" t="s">
        <v>45</v>
      </c>
      <c r="R88" s="3">
        <f>VLOOKUP(A88,comp!A:F,2,FALSE)</f>
        <v>7.5147928994082829</v>
      </c>
      <c r="S88" s="3">
        <f>VLOOKUP(A88,comp!A:F,3,FALSE)</f>
        <v>72.116089039165956</v>
      </c>
      <c r="T88" s="3">
        <f>VLOOKUP(A88,comp!A:F,4,FALSE)</f>
        <v>19.706959706959712</v>
      </c>
      <c r="U88" s="3">
        <f>VLOOKUP(A88,comp!A:F,5,FALSE)</f>
        <v>0.15497323189630879</v>
      </c>
      <c r="V88" s="3">
        <f>VLOOKUP(A88,comp!A:F,6,FALSE)</f>
        <v>0.50718512256973791</v>
      </c>
      <c r="W88" s="3">
        <f>VLOOKUP(A88,ndvi_vegnativa!A:F,2,FALSE)</f>
        <v>0.7958099590146851</v>
      </c>
      <c r="X88" s="3">
        <f>VLOOKUP(A88,ndvi_cana!A:F,2,FALSE)</f>
        <v>0.50520079812778618</v>
      </c>
      <c r="Y88" s="3">
        <f>VLOOKUP(A88,fragmentos!A:F,2,FALSE)</f>
        <v>127.520652001977</v>
      </c>
    </row>
    <row r="89" spans="1:25" x14ac:dyDescent="0.3">
      <c r="A89" s="3" t="s">
        <v>39</v>
      </c>
      <c r="B89" s="3" t="s">
        <v>24</v>
      </c>
      <c r="C89" s="4" t="s">
        <v>46</v>
      </c>
      <c r="D89" s="3" t="s">
        <v>47</v>
      </c>
      <c r="E89" s="5">
        <v>42892</v>
      </c>
      <c r="F89" s="6">
        <v>0.42222222222222222</v>
      </c>
      <c r="G89" s="3">
        <v>99</v>
      </c>
      <c r="H89" s="5">
        <v>42920</v>
      </c>
      <c r="I89" s="6">
        <v>0.37569444444444444</v>
      </c>
      <c r="J89" s="3">
        <v>88</v>
      </c>
      <c r="K89" s="3">
        <v>249</v>
      </c>
      <c r="L89" s="3" t="s">
        <v>34</v>
      </c>
      <c r="M89" s="4" t="s">
        <v>48</v>
      </c>
      <c r="N89" s="4" t="s">
        <v>49</v>
      </c>
      <c r="O89" s="4" t="s">
        <v>50</v>
      </c>
      <c r="P89" s="3" t="s">
        <v>51</v>
      </c>
      <c r="R89" s="3">
        <f>VLOOKUP(A89,comp!A:F,2,FALSE)</f>
        <v>7.5147928994082829</v>
      </c>
      <c r="S89" s="3">
        <f>VLOOKUP(A89,comp!A:F,3,FALSE)</f>
        <v>72.116089039165956</v>
      </c>
      <c r="T89" s="3">
        <f>VLOOKUP(A89,comp!A:F,4,FALSE)</f>
        <v>19.706959706959712</v>
      </c>
      <c r="U89" s="3">
        <f>VLOOKUP(A89,comp!A:F,5,FALSE)</f>
        <v>0.15497323189630879</v>
      </c>
      <c r="V89" s="3">
        <f>VLOOKUP(A89,comp!A:F,6,FALSE)</f>
        <v>0.50718512256973791</v>
      </c>
      <c r="W89" s="3">
        <f>VLOOKUP(A89,ndvi_vegnativa!A:F,2,FALSE)</f>
        <v>0.7958099590146851</v>
      </c>
      <c r="X89" s="3">
        <f>VLOOKUP(A89,ndvi_cana!A:F,2,FALSE)</f>
        <v>0.50520079812778618</v>
      </c>
      <c r="Y89" s="3">
        <f>VLOOKUP(A89,fragmentos!A:F,2,FALSE)</f>
        <v>127.520652001977</v>
      </c>
    </row>
    <row r="90" spans="1:25" x14ac:dyDescent="0.3">
      <c r="A90" s="3" t="s">
        <v>39</v>
      </c>
      <c r="B90" s="3" t="s">
        <v>31</v>
      </c>
      <c r="C90" s="4" t="s">
        <v>52</v>
      </c>
      <c r="D90" s="3" t="s">
        <v>53</v>
      </c>
      <c r="E90" s="5">
        <v>42892</v>
      </c>
      <c r="F90" s="6">
        <v>0.38055555555555554</v>
      </c>
      <c r="G90" s="3">
        <v>97</v>
      </c>
      <c r="H90" s="5">
        <v>42920</v>
      </c>
      <c r="I90" s="6">
        <v>0.38333333333333336</v>
      </c>
      <c r="J90" s="3">
        <v>82</v>
      </c>
      <c r="K90" s="3">
        <v>114</v>
      </c>
      <c r="L90" s="3" t="s">
        <v>54</v>
      </c>
      <c r="M90" s="4" t="s">
        <v>55</v>
      </c>
      <c r="N90" s="4" t="s">
        <v>56</v>
      </c>
      <c r="O90" s="4" t="s">
        <v>57</v>
      </c>
      <c r="P90" s="7" t="s">
        <v>58</v>
      </c>
      <c r="Q90" s="8" t="s">
        <v>59</v>
      </c>
      <c r="R90" s="3">
        <f>VLOOKUP(A90,comp!A:F,2,FALSE)</f>
        <v>7.5147928994082829</v>
      </c>
      <c r="S90" s="3">
        <f>VLOOKUP(A90,comp!A:F,3,FALSE)</f>
        <v>72.116089039165956</v>
      </c>
      <c r="T90" s="3">
        <f>VLOOKUP(A90,comp!A:F,4,FALSE)</f>
        <v>19.706959706959712</v>
      </c>
      <c r="U90" s="3">
        <f>VLOOKUP(A90,comp!A:F,5,FALSE)</f>
        <v>0.15497323189630879</v>
      </c>
      <c r="V90" s="3">
        <f>VLOOKUP(A90,comp!A:F,6,FALSE)</f>
        <v>0.50718512256973791</v>
      </c>
      <c r="W90" s="3">
        <f>VLOOKUP(A90,ndvi_vegnativa!A:F,2,FALSE)</f>
        <v>0.7958099590146851</v>
      </c>
      <c r="X90" s="3">
        <f>VLOOKUP(A90,ndvi_cana!A:F,2,FALSE)</f>
        <v>0.50520079812778618</v>
      </c>
      <c r="Y90" s="3">
        <f>VLOOKUP(A90,fragmentos!A:F,2,FALSE)</f>
        <v>127.520652001977</v>
      </c>
    </row>
    <row r="91" spans="1:25" x14ac:dyDescent="0.3">
      <c r="A91" s="3" t="s">
        <v>210</v>
      </c>
      <c r="B91" s="3" t="s">
        <v>17</v>
      </c>
      <c r="C91" s="4" t="s">
        <v>88</v>
      </c>
      <c r="D91" s="3" t="s">
        <v>33</v>
      </c>
      <c r="E91" s="5">
        <v>42949</v>
      </c>
      <c r="F91" s="6">
        <v>0.44444444444444442</v>
      </c>
      <c r="G91" s="3">
        <v>95</v>
      </c>
      <c r="H91" s="5">
        <v>42979</v>
      </c>
      <c r="I91" s="6">
        <v>0.31944444444444442</v>
      </c>
      <c r="J91" s="3">
        <v>75</v>
      </c>
      <c r="K91" s="3">
        <v>184</v>
      </c>
      <c r="L91" s="3" t="s">
        <v>34</v>
      </c>
      <c r="M91" s="3">
        <v>12</v>
      </c>
      <c r="N91" s="4" t="s">
        <v>211</v>
      </c>
      <c r="O91" s="4" t="s">
        <v>212</v>
      </c>
      <c r="P91" s="3" t="s">
        <v>213</v>
      </c>
      <c r="Q91" s="3" t="s">
        <v>214</v>
      </c>
      <c r="R91" s="3">
        <f>VLOOKUP(A91,comp!A:F,2,FALSE)</f>
        <v>3.3383102797419499</v>
      </c>
      <c r="S91" s="3">
        <f>VLOOKUP(A91,comp!A:F,3,FALSE)</f>
        <v>13.66030932191453</v>
      </c>
      <c r="T91" s="3">
        <f>VLOOKUP(A91,comp!A:F,4,FALSE)</f>
        <v>22.362453165056198</v>
      </c>
      <c r="U91" s="3">
        <f>VLOOKUP(A91,comp!A:F,5,FALSE)</f>
        <v>5.6342789531509717E-3</v>
      </c>
      <c r="V91" s="3">
        <f>VLOOKUP(A91,comp!A:F,6,FALSE)</f>
        <v>2.4762655999098522</v>
      </c>
      <c r="W91" s="3">
        <f>VLOOKUP(A91,ndvi_vegnativa!A:F,2,FALSE)</f>
        <v>0.78429332850405553</v>
      </c>
      <c r="X91" s="3">
        <f>VLOOKUP(A91,ndvi_cana!A:F,2,FALSE)</f>
        <v>0.50114912163662129</v>
      </c>
      <c r="Y91" s="3">
        <f>VLOOKUP(A91,fragmentos!A:F,2,FALSE)</f>
        <v>215.02321877731359</v>
      </c>
    </row>
    <row r="92" spans="1:25" x14ac:dyDescent="0.3">
      <c r="A92" s="3" t="s">
        <v>210</v>
      </c>
      <c r="B92" s="3" t="s">
        <v>24</v>
      </c>
      <c r="C92" s="4" t="s">
        <v>81</v>
      </c>
      <c r="D92" s="3" t="s">
        <v>215</v>
      </c>
      <c r="E92" s="5">
        <v>42949</v>
      </c>
      <c r="F92" s="6">
        <v>0.56666666666666665</v>
      </c>
      <c r="G92" s="3">
        <v>95</v>
      </c>
      <c r="H92" s="5">
        <v>42979</v>
      </c>
      <c r="I92" s="6">
        <v>0.32708333333333334</v>
      </c>
      <c r="J92" s="3">
        <v>79</v>
      </c>
      <c r="K92" s="3">
        <v>139</v>
      </c>
      <c r="L92" s="3" t="s">
        <v>83</v>
      </c>
      <c r="M92" s="4" t="s">
        <v>152</v>
      </c>
      <c r="N92" s="4" t="s">
        <v>216</v>
      </c>
      <c r="O92" s="4" t="s">
        <v>217</v>
      </c>
      <c r="P92" s="3" t="s">
        <v>218</v>
      </c>
      <c r="Q92" s="3" t="s">
        <v>219</v>
      </c>
      <c r="R92" s="3">
        <f>VLOOKUP(A92,comp!A:F,2,FALSE)</f>
        <v>3.3383102797419499</v>
      </c>
      <c r="S92" s="3">
        <f>VLOOKUP(A92,comp!A:F,3,FALSE)</f>
        <v>13.66030932191453</v>
      </c>
      <c r="T92" s="3">
        <f>VLOOKUP(A92,comp!A:F,4,FALSE)</f>
        <v>22.362453165056198</v>
      </c>
      <c r="U92" s="3">
        <f>VLOOKUP(A92,comp!A:F,5,FALSE)</f>
        <v>5.6342789531509717E-3</v>
      </c>
      <c r="V92" s="3">
        <f>VLOOKUP(A92,comp!A:F,6,FALSE)</f>
        <v>2.4762655999098522</v>
      </c>
      <c r="W92" s="3">
        <f>VLOOKUP(A92,ndvi_vegnativa!A:F,2,FALSE)</f>
        <v>0.78429332850405553</v>
      </c>
      <c r="X92" s="3">
        <f>VLOOKUP(A92,ndvi_cana!A:F,2,FALSE)</f>
        <v>0.50114912163662129</v>
      </c>
      <c r="Y92" s="3">
        <f>VLOOKUP(A92,fragmentos!A:F,2,FALSE)</f>
        <v>215.02321877731359</v>
      </c>
    </row>
    <row r="93" spans="1:25" x14ac:dyDescent="0.3">
      <c r="A93" s="3" t="s">
        <v>210</v>
      </c>
      <c r="B93" s="3" t="s">
        <v>31</v>
      </c>
      <c r="C93" s="4" t="s">
        <v>94</v>
      </c>
      <c r="D93" s="3" t="s">
        <v>69</v>
      </c>
      <c r="E93" s="5">
        <v>42949</v>
      </c>
      <c r="F93" s="6">
        <v>0.65833333333333333</v>
      </c>
      <c r="G93" s="3">
        <v>94</v>
      </c>
      <c r="H93" s="5">
        <v>42979</v>
      </c>
      <c r="I93" s="6">
        <v>0.30625000000000002</v>
      </c>
      <c r="J93" s="3">
        <v>79</v>
      </c>
      <c r="K93" s="3">
        <v>171</v>
      </c>
      <c r="L93" s="3" t="s">
        <v>34</v>
      </c>
      <c r="M93" s="3">
        <v>6</v>
      </c>
      <c r="N93" s="4" t="s">
        <v>220</v>
      </c>
      <c r="O93" s="4" t="s">
        <v>221</v>
      </c>
      <c r="P93" s="3" t="s">
        <v>222</v>
      </c>
      <c r="Q93" s="3" t="s">
        <v>223</v>
      </c>
      <c r="R93" s="3">
        <f>VLOOKUP(A93,comp!A:F,2,FALSE)</f>
        <v>3.3383102797419499</v>
      </c>
      <c r="S93" s="3">
        <f>VLOOKUP(A93,comp!A:F,3,FALSE)</f>
        <v>13.66030932191453</v>
      </c>
      <c r="T93" s="3">
        <f>VLOOKUP(A93,comp!A:F,4,FALSE)</f>
        <v>22.362453165056198</v>
      </c>
      <c r="U93" s="3">
        <f>VLOOKUP(A93,comp!A:F,5,FALSE)</f>
        <v>5.6342789531509717E-3</v>
      </c>
      <c r="V93" s="3">
        <f>VLOOKUP(A93,comp!A:F,6,FALSE)</f>
        <v>2.4762655999098522</v>
      </c>
      <c r="W93" s="3">
        <f>VLOOKUP(A93,ndvi_vegnativa!A:F,2,FALSE)</f>
        <v>0.78429332850405553</v>
      </c>
      <c r="X93" s="3">
        <f>VLOOKUP(A93,ndvi_cana!A:F,2,FALSE)</f>
        <v>0.50114912163662129</v>
      </c>
      <c r="Y93" s="3">
        <f>VLOOKUP(A93,fragmentos!A:F,2,FALSE)</f>
        <v>215.02321877731359</v>
      </c>
    </row>
    <row r="94" spans="1:25" x14ac:dyDescent="0.3">
      <c r="A94" s="3" t="s">
        <v>436</v>
      </c>
      <c r="B94" s="3" t="s">
        <v>17</v>
      </c>
      <c r="C94" s="4" t="s">
        <v>40</v>
      </c>
      <c r="D94" s="3" t="s">
        <v>159</v>
      </c>
      <c r="E94" s="5">
        <v>43224</v>
      </c>
      <c r="F94" s="6">
        <v>0.40625</v>
      </c>
      <c r="G94" s="3">
        <v>98</v>
      </c>
      <c r="H94" s="5">
        <v>43257</v>
      </c>
      <c r="I94" s="6">
        <v>0.70625000000000004</v>
      </c>
      <c r="J94" s="3">
        <v>79</v>
      </c>
      <c r="K94" s="3">
        <v>130</v>
      </c>
      <c r="L94" s="3" t="s">
        <v>123</v>
      </c>
      <c r="M94" s="4" t="s">
        <v>437</v>
      </c>
      <c r="N94" s="4" t="s">
        <v>438</v>
      </c>
      <c r="O94" s="4" t="s">
        <v>439</v>
      </c>
      <c r="P94" s="3" t="s">
        <v>440</v>
      </c>
      <c r="R94" s="3">
        <f>VLOOKUP(A94,comp!A:F,2,FALSE)</f>
        <v>48.921958231165974</v>
      </c>
      <c r="S94" s="3">
        <f>VLOOKUP(A94,comp!A:F,3,FALSE)</f>
        <v>0.37766692032355342</v>
      </c>
      <c r="T94" s="3">
        <f>VLOOKUP(A94,comp!A:F,4,FALSE)</f>
        <v>25.278317972999631</v>
      </c>
      <c r="U94" s="3">
        <f>VLOOKUP(A94,comp!A:F,5,FALSE)</f>
        <v>24.22705109777063</v>
      </c>
      <c r="V94" s="3">
        <f>VLOOKUP(A94,comp!A:F,6,FALSE)</f>
        <v>0</v>
      </c>
      <c r="W94" s="3">
        <f>VLOOKUP(A94,ndvi_vegnativa!A:F,2,FALSE)</f>
        <v>0.84568354255667433</v>
      </c>
      <c r="X94" s="3">
        <f>VLOOKUP(A94,ndvi_cana!A:F,2,FALSE)</f>
        <v>0.69007440566087974</v>
      </c>
      <c r="Y94" s="3">
        <f>VLOOKUP(A94,fragmentos!A:F,2,FALSE)</f>
        <v>127.9384983684446</v>
      </c>
    </row>
    <row r="95" spans="1:25" x14ac:dyDescent="0.3">
      <c r="A95" s="3" t="s">
        <v>436</v>
      </c>
      <c r="B95" s="3" t="s">
        <v>24</v>
      </c>
      <c r="C95" s="4" t="s">
        <v>256</v>
      </c>
      <c r="D95" s="3" t="s">
        <v>182</v>
      </c>
      <c r="E95" s="5">
        <v>43224</v>
      </c>
      <c r="F95" s="6">
        <v>0.44097222222222221</v>
      </c>
      <c r="G95" s="3">
        <v>95</v>
      </c>
      <c r="H95" s="5">
        <v>43257</v>
      </c>
      <c r="I95" s="6">
        <v>0.7270833333333333</v>
      </c>
      <c r="J95" s="3">
        <v>57</v>
      </c>
      <c r="K95" s="3">
        <v>198</v>
      </c>
      <c r="L95" s="3" t="s">
        <v>123</v>
      </c>
      <c r="M95" s="3">
        <v>17.5</v>
      </c>
      <c r="N95" s="4" t="s">
        <v>441</v>
      </c>
      <c r="O95" s="4" t="s">
        <v>442</v>
      </c>
      <c r="P95" s="3" t="s">
        <v>443</v>
      </c>
      <c r="R95" s="3">
        <f>VLOOKUP(A95,comp!A:F,2,FALSE)</f>
        <v>48.921958231165974</v>
      </c>
      <c r="S95" s="3">
        <f>VLOOKUP(A95,comp!A:F,3,FALSE)</f>
        <v>0.37766692032355342</v>
      </c>
      <c r="T95" s="3">
        <f>VLOOKUP(A95,comp!A:F,4,FALSE)</f>
        <v>25.278317972999631</v>
      </c>
      <c r="U95" s="3">
        <f>VLOOKUP(A95,comp!A:F,5,FALSE)</f>
        <v>24.22705109777063</v>
      </c>
      <c r="V95" s="3">
        <f>VLOOKUP(A95,comp!A:F,6,FALSE)</f>
        <v>0</v>
      </c>
      <c r="W95" s="3">
        <f>VLOOKUP(A95,ndvi_vegnativa!A:F,2,FALSE)</f>
        <v>0.84568354255667433</v>
      </c>
      <c r="X95" s="3">
        <f>VLOOKUP(A95,ndvi_cana!A:F,2,FALSE)</f>
        <v>0.69007440566087974</v>
      </c>
      <c r="Y95" s="3">
        <f>VLOOKUP(A95,fragmentos!A:F,2,FALSE)</f>
        <v>127.9384983684446</v>
      </c>
    </row>
    <row r="96" spans="1:25" x14ac:dyDescent="0.3">
      <c r="A96" s="3" t="s">
        <v>436</v>
      </c>
      <c r="B96" s="3" t="s">
        <v>31</v>
      </c>
      <c r="C96" s="4" t="s">
        <v>228</v>
      </c>
      <c r="D96" s="3" t="s">
        <v>122</v>
      </c>
      <c r="E96" s="5">
        <v>43224</v>
      </c>
      <c r="F96" s="6">
        <v>0.53819444444444442</v>
      </c>
      <c r="G96" s="3">
        <v>99</v>
      </c>
      <c r="H96" s="5">
        <v>43257</v>
      </c>
      <c r="I96" s="6">
        <v>0.75208333333333333</v>
      </c>
      <c r="J96" s="3">
        <v>75</v>
      </c>
      <c r="K96" s="3">
        <v>173</v>
      </c>
      <c r="L96" s="3" t="s">
        <v>123</v>
      </c>
      <c r="M96" s="3">
        <v>17.5</v>
      </c>
      <c r="N96" s="4" t="s">
        <v>444</v>
      </c>
      <c r="O96" s="4" t="s">
        <v>445</v>
      </c>
      <c r="P96" s="3" t="s">
        <v>446</v>
      </c>
      <c r="R96" s="3">
        <f>VLOOKUP(A96,comp!A:F,2,FALSE)</f>
        <v>48.921958231165974</v>
      </c>
      <c r="S96" s="3">
        <f>VLOOKUP(A96,comp!A:F,3,FALSE)</f>
        <v>0.37766692032355342</v>
      </c>
      <c r="T96" s="3">
        <f>VLOOKUP(A96,comp!A:F,4,FALSE)</f>
        <v>25.278317972999631</v>
      </c>
      <c r="U96" s="3">
        <f>VLOOKUP(A96,comp!A:F,5,FALSE)</f>
        <v>24.22705109777063</v>
      </c>
      <c r="V96" s="3">
        <f>VLOOKUP(A96,comp!A:F,6,FALSE)</f>
        <v>0</v>
      </c>
      <c r="W96" s="3">
        <f>VLOOKUP(A96,ndvi_vegnativa!A:F,2,FALSE)</f>
        <v>0.84568354255667433</v>
      </c>
      <c r="X96" s="3">
        <f>VLOOKUP(A96,ndvi_cana!A:F,2,FALSE)</f>
        <v>0.69007440566087974</v>
      </c>
      <c r="Y96" s="3">
        <f>VLOOKUP(A96,fragmentos!A:F,2,FALSE)</f>
        <v>127.9384983684446</v>
      </c>
    </row>
    <row r="97" spans="1:25" x14ac:dyDescent="0.3">
      <c r="A97" s="3" t="s">
        <v>626</v>
      </c>
      <c r="B97" s="3" t="s">
        <v>17</v>
      </c>
      <c r="C97" s="4" t="s">
        <v>627</v>
      </c>
      <c r="D97" s="3" t="s">
        <v>178</v>
      </c>
      <c r="E97" s="5">
        <v>43353</v>
      </c>
      <c r="F97" s="6">
        <v>0.48472222222222222</v>
      </c>
      <c r="G97" s="3">
        <v>97</v>
      </c>
      <c r="H97" s="5">
        <v>43397</v>
      </c>
      <c r="I97" s="6">
        <v>0.3527777777777778</v>
      </c>
      <c r="J97" s="3" t="s">
        <v>163</v>
      </c>
      <c r="K97" s="3">
        <v>372</v>
      </c>
      <c r="L97" s="3" t="s">
        <v>608</v>
      </c>
      <c r="M97" s="3">
        <v>20</v>
      </c>
      <c r="N97" s="4" t="s">
        <v>628</v>
      </c>
      <c r="O97" s="4" t="s">
        <v>629</v>
      </c>
      <c r="P97" s="3" t="s">
        <v>630</v>
      </c>
      <c r="R97" s="3">
        <f>VLOOKUP(A97,comp!A:F,2,FALSE)</f>
        <v>18.354234183457798</v>
      </c>
      <c r="S97" s="3">
        <f>VLOOKUP(A97,comp!A:F,3,FALSE)</f>
        <v>50.655206425250107</v>
      </c>
      <c r="T97" s="3">
        <f>VLOOKUP(A97,comp!A:F,4,FALSE)</f>
        <v>20.97787797660984</v>
      </c>
      <c r="U97" s="3">
        <f>VLOOKUP(A97,comp!A:F,5,FALSE)</f>
        <v>3.6127941383683249</v>
      </c>
      <c r="V97" s="3">
        <f>VLOOKUP(A97,comp!A:F,6,FALSE)</f>
        <v>4.3764971114555449</v>
      </c>
      <c r="W97" s="3">
        <f>VLOOKUP(A97,ndvi_vegnativa!A:F,2,FALSE)</f>
        <v>0.80281893330487419</v>
      </c>
      <c r="X97" s="3">
        <f>VLOOKUP(A97,ndvi_cana!A:F,2,FALSE)</f>
        <v>0.55406297013184991</v>
      </c>
      <c r="Y97" s="3">
        <f>VLOOKUP(A97,fragmentos!A:F,2,FALSE)</f>
        <v>145.66653500476659</v>
      </c>
    </row>
    <row r="98" spans="1:25" x14ac:dyDescent="0.3">
      <c r="A98" s="3" t="s">
        <v>626</v>
      </c>
      <c r="B98" s="3" t="s">
        <v>24</v>
      </c>
      <c r="C98" s="4" t="s">
        <v>631</v>
      </c>
      <c r="D98" s="3" t="s">
        <v>173</v>
      </c>
      <c r="E98" s="5">
        <v>43353</v>
      </c>
      <c r="F98" s="6">
        <v>0.52569444444444446</v>
      </c>
      <c r="G98" s="3">
        <v>94</v>
      </c>
      <c r="H98" s="5">
        <v>43397</v>
      </c>
      <c r="I98" s="6">
        <v>0.37013888888888891</v>
      </c>
      <c r="J98" s="3" t="s">
        <v>163</v>
      </c>
      <c r="K98" s="3">
        <v>509</v>
      </c>
      <c r="L98" s="3" t="s">
        <v>34</v>
      </c>
      <c r="M98" s="3" t="s">
        <v>163</v>
      </c>
      <c r="N98" s="4" t="s">
        <v>632</v>
      </c>
      <c r="O98" s="4" t="s">
        <v>633</v>
      </c>
      <c r="P98" s="3" t="s">
        <v>634</v>
      </c>
      <c r="R98" s="3">
        <f>VLOOKUP(A98,comp!A:F,2,FALSE)</f>
        <v>18.354234183457798</v>
      </c>
      <c r="S98" s="3">
        <f>VLOOKUP(A98,comp!A:F,3,FALSE)</f>
        <v>50.655206425250107</v>
      </c>
      <c r="T98" s="3">
        <f>VLOOKUP(A98,comp!A:F,4,FALSE)</f>
        <v>20.97787797660984</v>
      </c>
      <c r="U98" s="3">
        <f>VLOOKUP(A98,comp!A:F,5,FALSE)</f>
        <v>3.6127941383683249</v>
      </c>
      <c r="V98" s="3">
        <f>VLOOKUP(A98,comp!A:F,6,FALSE)</f>
        <v>4.3764971114555449</v>
      </c>
      <c r="W98" s="3">
        <f>VLOOKUP(A98,ndvi_vegnativa!A:F,2,FALSE)</f>
        <v>0.80281893330487419</v>
      </c>
      <c r="X98" s="3">
        <f>VLOOKUP(A98,ndvi_cana!A:F,2,FALSE)</f>
        <v>0.55406297013184991</v>
      </c>
      <c r="Y98" s="3">
        <f>VLOOKUP(A98,fragmentos!A:F,2,FALSE)</f>
        <v>145.66653500476659</v>
      </c>
    </row>
    <row r="99" spans="1:25" x14ac:dyDescent="0.3">
      <c r="A99" s="3" t="s">
        <v>626</v>
      </c>
      <c r="B99" s="3" t="s">
        <v>31</v>
      </c>
      <c r="C99" s="4" t="s">
        <v>635</v>
      </c>
      <c r="D99" s="3" t="s">
        <v>159</v>
      </c>
      <c r="E99" s="5">
        <v>43353</v>
      </c>
      <c r="F99" s="6">
        <v>0.69236111111111109</v>
      </c>
      <c r="G99" s="3">
        <v>98</v>
      </c>
      <c r="H99" s="5">
        <v>43397</v>
      </c>
      <c r="I99" s="6">
        <v>0.3347222222222222</v>
      </c>
      <c r="J99" s="3" t="s">
        <v>163</v>
      </c>
      <c r="K99" s="3">
        <v>288</v>
      </c>
      <c r="L99" s="3" t="s">
        <v>166</v>
      </c>
      <c r="M99" s="3">
        <v>15</v>
      </c>
      <c r="N99" s="4" t="s">
        <v>636</v>
      </c>
      <c r="O99" s="4" t="s">
        <v>637</v>
      </c>
      <c r="P99" s="3" t="s">
        <v>638</v>
      </c>
      <c r="R99" s="3">
        <f>VLOOKUP(A99,comp!A:F,2,FALSE)</f>
        <v>18.354234183457798</v>
      </c>
      <c r="S99" s="3">
        <f>VLOOKUP(A99,comp!A:F,3,FALSE)</f>
        <v>50.655206425250107</v>
      </c>
      <c r="T99" s="3">
        <f>VLOOKUP(A99,comp!A:F,4,FALSE)</f>
        <v>20.97787797660984</v>
      </c>
      <c r="U99" s="3">
        <f>VLOOKUP(A99,comp!A:F,5,FALSE)</f>
        <v>3.6127941383683249</v>
      </c>
      <c r="V99" s="3">
        <f>VLOOKUP(A99,comp!A:F,6,FALSE)</f>
        <v>4.3764971114555449</v>
      </c>
      <c r="W99" s="3">
        <f>VLOOKUP(A99,ndvi_vegnativa!A:F,2,FALSE)</f>
        <v>0.80281893330487419</v>
      </c>
      <c r="X99" s="3">
        <f>VLOOKUP(A99,ndvi_cana!A:F,2,FALSE)</f>
        <v>0.55406297013184991</v>
      </c>
      <c r="Y99" s="3">
        <f>VLOOKUP(A99,fragmentos!A:F,2,FALSE)</f>
        <v>145.66653500476659</v>
      </c>
    </row>
    <row r="100" spans="1:25" x14ac:dyDescent="0.3">
      <c r="A100" s="16" t="s">
        <v>588</v>
      </c>
      <c r="B100" s="16" t="s">
        <v>17</v>
      </c>
      <c r="C100" s="17" t="s">
        <v>94</v>
      </c>
      <c r="D100" s="16" t="s">
        <v>41</v>
      </c>
      <c r="E100" s="18">
        <v>43326</v>
      </c>
      <c r="F100" s="19">
        <v>0.46736111111111112</v>
      </c>
      <c r="G100" s="16">
        <v>95</v>
      </c>
      <c r="H100" s="18">
        <v>43354</v>
      </c>
      <c r="I100" s="19">
        <v>0.37638888888888888</v>
      </c>
      <c r="J100" s="16">
        <v>83</v>
      </c>
      <c r="K100" s="16">
        <v>170</v>
      </c>
      <c r="L100" s="16" t="s">
        <v>83</v>
      </c>
      <c r="M100" s="16">
        <v>11</v>
      </c>
      <c r="N100" s="17" t="s">
        <v>589</v>
      </c>
      <c r="O100" s="17" t="s">
        <v>590</v>
      </c>
      <c r="P100" s="16" t="s">
        <v>591</v>
      </c>
      <c r="Q100" s="16"/>
      <c r="R100" s="3">
        <f>VLOOKUP(A100,comp!A:F,2,FALSE)</f>
        <v>44.05285102546766</v>
      </c>
      <c r="S100" s="3">
        <f>VLOOKUP(A100,comp!A:F,3,FALSE)</f>
        <v>3.915934189767861</v>
      </c>
      <c r="T100" s="3">
        <f>VLOOKUP(A100,comp!A:F,4,FALSE)</f>
        <v>27.583389677710159</v>
      </c>
      <c r="U100" s="3">
        <f>VLOOKUP(A100,comp!A:F,5,FALSE)</f>
        <v>23.016677935542031</v>
      </c>
      <c r="V100" s="3">
        <f>VLOOKUP(A100,comp!A:F,6,FALSE)</f>
        <v>0.26200135226504401</v>
      </c>
      <c r="W100" s="3">
        <f>VLOOKUP(A100,ndvi_vegnativa!A:F,2,FALSE)</f>
        <v>0.77703103665017792</v>
      </c>
      <c r="X100" s="3">
        <f>VLOOKUP(A100,ndvi_cana!A:F,2,FALSE)</f>
        <v>0.46752978431709652</v>
      </c>
      <c r="Y100" s="3">
        <f>VLOOKUP(A100,fragmentos!A:F,2,FALSE)</f>
        <v>108.6209345674674</v>
      </c>
    </row>
    <row r="101" spans="1:25" x14ac:dyDescent="0.3">
      <c r="A101" s="16" t="s">
        <v>588</v>
      </c>
      <c r="B101" s="16" t="s">
        <v>24</v>
      </c>
      <c r="C101" s="17" t="s">
        <v>113</v>
      </c>
      <c r="D101" s="16" t="s">
        <v>215</v>
      </c>
      <c r="E101" s="18">
        <v>43326</v>
      </c>
      <c r="F101" s="19">
        <v>0.52500000000000002</v>
      </c>
      <c r="G101" s="16">
        <v>98</v>
      </c>
      <c r="H101" s="18">
        <v>43354</v>
      </c>
      <c r="I101" s="19">
        <v>0.33680555555555558</v>
      </c>
      <c r="J101" s="16">
        <v>87</v>
      </c>
      <c r="K101" s="16">
        <v>207</v>
      </c>
      <c r="L101" s="16" t="s">
        <v>83</v>
      </c>
      <c r="M101" s="16">
        <v>13.5</v>
      </c>
      <c r="N101" s="17" t="s">
        <v>592</v>
      </c>
      <c r="O101" s="17" t="s">
        <v>593</v>
      </c>
      <c r="P101" s="16" t="s">
        <v>594</v>
      </c>
      <c r="Q101" s="16" t="s">
        <v>595</v>
      </c>
      <c r="R101" s="3">
        <f>VLOOKUP(A101,comp!A:F,2,FALSE)</f>
        <v>44.05285102546766</v>
      </c>
      <c r="S101" s="3">
        <f>VLOOKUP(A101,comp!A:F,3,FALSE)</f>
        <v>3.915934189767861</v>
      </c>
      <c r="T101" s="3">
        <f>VLOOKUP(A101,comp!A:F,4,FALSE)</f>
        <v>27.583389677710159</v>
      </c>
      <c r="U101" s="3">
        <f>VLOOKUP(A101,comp!A:F,5,FALSE)</f>
        <v>23.016677935542031</v>
      </c>
      <c r="V101" s="3">
        <f>VLOOKUP(A101,comp!A:F,6,FALSE)</f>
        <v>0.26200135226504401</v>
      </c>
      <c r="W101" s="3">
        <f>VLOOKUP(A101,ndvi_vegnativa!A:F,2,FALSE)</f>
        <v>0.77703103665017792</v>
      </c>
      <c r="X101" s="3">
        <f>VLOOKUP(A101,ndvi_cana!A:F,2,FALSE)</f>
        <v>0.46752978431709652</v>
      </c>
      <c r="Y101" s="3">
        <f>VLOOKUP(A101,fragmentos!A:F,2,FALSE)</f>
        <v>108.6209345674674</v>
      </c>
    </row>
    <row r="102" spans="1:25" x14ac:dyDescent="0.3">
      <c r="A102" s="16" t="s">
        <v>588</v>
      </c>
      <c r="B102" s="16" t="s">
        <v>31</v>
      </c>
      <c r="C102" s="17" t="s">
        <v>74</v>
      </c>
      <c r="D102" s="16" t="s">
        <v>114</v>
      </c>
      <c r="E102" s="18">
        <v>43326</v>
      </c>
      <c r="F102" s="19">
        <v>0.59236111111111112</v>
      </c>
      <c r="G102" s="16">
        <v>96</v>
      </c>
      <c r="H102" s="18">
        <v>43354</v>
      </c>
      <c r="I102" s="19">
        <v>0.3611111111111111</v>
      </c>
      <c r="J102" s="16">
        <v>79</v>
      </c>
      <c r="K102" s="16">
        <v>316</v>
      </c>
      <c r="L102" s="16" t="s">
        <v>34</v>
      </c>
      <c r="M102" s="16">
        <v>20</v>
      </c>
      <c r="N102" s="17" t="s">
        <v>596</v>
      </c>
      <c r="O102" s="17" t="s">
        <v>597</v>
      </c>
      <c r="P102" s="16" t="s">
        <v>598</v>
      </c>
      <c r="Q102" s="16"/>
      <c r="R102" s="3">
        <f>VLOOKUP(A102,comp!A:F,2,FALSE)</f>
        <v>44.05285102546766</v>
      </c>
      <c r="S102" s="3">
        <f>VLOOKUP(A102,comp!A:F,3,FALSE)</f>
        <v>3.915934189767861</v>
      </c>
      <c r="T102" s="3">
        <f>VLOOKUP(A102,comp!A:F,4,FALSE)</f>
        <v>27.583389677710159</v>
      </c>
      <c r="U102" s="3">
        <f>VLOOKUP(A102,comp!A:F,5,FALSE)</f>
        <v>23.016677935542031</v>
      </c>
      <c r="V102" s="3">
        <f>VLOOKUP(A102,comp!A:F,6,FALSE)</f>
        <v>0.26200135226504401</v>
      </c>
      <c r="W102" s="3">
        <f>VLOOKUP(A102,ndvi_vegnativa!A:F,2,FALSE)</f>
        <v>0.77703103665017792</v>
      </c>
      <c r="X102" s="3">
        <f>VLOOKUP(A102,ndvi_cana!A:F,2,FALSE)</f>
        <v>0.46752978431709652</v>
      </c>
      <c r="Y102" s="3">
        <f>VLOOKUP(A102,fragmentos!A:F,2,FALSE)</f>
        <v>108.6209345674674</v>
      </c>
    </row>
    <row r="103" spans="1:25" x14ac:dyDescent="0.3">
      <c r="A103" s="3" t="s">
        <v>284</v>
      </c>
      <c r="B103" s="3" t="s">
        <v>17</v>
      </c>
      <c r="C103" s="4" t="s">
        <v>107</v>
      </c>
      <c r="D103" s="3" t="s">
        <v>142</v>
      </c>
      <c r="E103" s="5">
        <v>42982</v>
      </c>
      <c r="F103" s="6">
        <v>0.51111111111111107</v>
      </c>
      <c r="G103" s="3">
        <v>88</v>
      </c>
      <c r="H103" s="5">
        <v>43011</v>
      </c>
      <c r="I103" s="6">
        <v>0.3611111111111111</v>
      </c>
      <c r="J103" s="3">
        <v>41</v>
      </c>
      <c r="K103" s="3">
        <v>171</v>
      </c>
      <c r="L103" s="3" t="s">
        <v>34</v>
      </c>
      <c r="M103" s="4" t="s">
        <v>35</v>
      </c>
      <c r="N103" s="4" t="s">
        <v>285</v>
      </c>
      <c r="O103" s="4" t="s">
        <v>286</v>
      </c>
      <c r="P103" s="3" t="s">
        <v>287</v>
      </c>
      <c r="R103" s="3">
        <f>VLOOKUP(A103,comp!A:F,2,FALSE)</f>
        <v>31.984889916274351</v>
      </c>
      <c r="S103" s="3">
        <f>VLOOKUP(A103,comp!A:F,3,FALSE)</f>
        <v>38.990217912214924</v>
      </c>
      <c r="T103" s="3">
        <f>VLOOKUP(A103,comp!A:F,4,FALSE)</f>
        <v>26.913427113579338</v>
      </c>
      <c r="U103" s="3">
        <f>VLOOKUP(A103,comp!A:F,5,FALSE)</f>
        <v>1.4546274631409799</v>
      </c>
      <c r="V103" s="3">
        <f>VLOOKUP(A103,comp!A:F,6,FALSE)</f>
        <v>0</v>
      </c>
      <c r="W103" s="3">
        <f>VLOOKUP(A103,ndvi_vegnativa!A:F,2,FALSE)</f>
        <v>0.87555738842574138</v>
      </c>
      <c r="X103" s="3">
        <f>VLOOKUP(A103,ndvi_cana!A:F,2,FALSE)</f>
        <v>0.53809436769992769</v>
      </c>
      <c r="Y103" s="3">
        <f>VLOOKUP(A103,fragmentos!A:F,2,FALSE)</f>
        <v>134.37789622629981</v>
      </c>
    </row>
    <row r="104" spans="1:25" x14ac:dyDescent="0.3">
      <c r="A104" s="3" t="s">
        <v>284</v>
      </c>
      <c r="B104" s="3" t="s">
        <v>24</v>
      </c>
      <c r="C104" s="4" t="s">
        <v>228</v>
      </c>
      <c r="D104" s="3" t="s">
        <v>156</v>
      </c>
      <c r="E104" s="5">
        <v>42982</v>
      </c>
      <c r="F104" s="6">
        <v>0.56041666666666667</v>
      </c>
      <c r="G104" s="3">
        <v>95</v>
      </c>
      <c r="H104" s="5">
        <v>43011</v>
      </c>
      <c r="I104" s="6">
        <v>0.37847222222222221</v>
      </c>
      <c r="J104" s="3">
        <v>84</v>
      </c>
      <c r="K104" s="3">
        <v>153</v>
      </c>
      <c r="L104" s="3" t="s">
        <v>83</v>
      </c>
      <c r="M104" s="4" t="s">
        <v>116</v>
      </c>
      <c r="N104" s="4" t="s">
        <v>288</v>
      </c>
      <c r="O104" s="4" t="s">
        <v>289</v>
      </c>
      <c r="P104" s="3" t="s">
        <v>290</v>
      </c>
      <c r="R104" s="3">
        <f>VLOOKUP(A104,comp!A:F,2,FALSE)</f>
        <v>31.984889916274351</v>
      </c>
      <c r="S104" s="3">
        <f>VLOOKUP(A104,comp!A:F,3,FALSE)</f>
        <v>38.990217912214924</v>
      </c>
      <c r="T104" s="3">
        <f>VLOOKUP(A104,comp!A:F,4,FALSE)</f>
        <v>26.913427113579338</v>
      </c>
      <c r="U104" s="3">
        <f>VLOOKUP(A104,comp!A:F,5,FALSE)</f>
        <v>1.4546274631409799</v>
      </c>
      <c r="V104" s="3">
        <f>VLOOKUP(A104,comp!A:F,6,FALSE)</f>
        <v>0</v>
      </c>
      <c r="W104" s="3">
        <f>VLOOKUP(A104,ndvi_vegnativa!A:F,2,FALSE)</f>
        <v>0.87555738842574138</v>
      </c>
      <c r="X104" s="3">
        <f>VLOOKUP(A104,ndvi_cana!A:F,2,FALSE)</f>
        <v>0.53809436769992769</v>
      </c>
      <c r="Y104" s="3">
        <f>VLOOKUP(A104,fragmentos!A:F,2,FALSE)</f>
        <v>134.37789622629981</v>
      </c>
    </row>
    <row r="105" spans="1:25" x14ac:dyDescent="0.3">
      <c r="A105" s="3" t="s">
        <v>284</v>
      </c>
      <c r="B105" s="3" t="s">
        <v>31</v>
      </c>
      <c r="C105" s="4" t="s">
        <v>113</v>
      </c>
      <c r="D105" s="3" t="s">
        <v>138</v>
      </c>
      <c r="E105" s="5">
        <v>42982</v>
      </c>
      <c r="F105" s="6">
        <v>0.70833333333333337</v>
      </c>
      <c r="G105" s="3">
        <v>93</v>
      </c>
      <c r="H105" s="5">
        <v>43011</v>
      </c>
      <c r="I105" s="6">
        <v>0.34583333333333333</v>
      </c>
      <c r="J105" s="3">
        <v>81</v>
      </c>
      <c r="K105" s="3">
        <v>160</v>
      </c>
      <c r="L105" s="3" t="s">
        <v>123</v>
      </c>
      <c r="M105" s="3">
        <v>5</v>
      </c>
      <c r="N105" s="4" t="s">
        <v>291</v>
      </c>
      <c r="O105" s="4" t="s">
        <v>292</v>
      </c>
      <c r="P105" s="3" t="s">
        <v>293</v>
      </c>
      <c r="R105" s="3">
        <f>VLOOKUP(A105,comp!A:F,2,FALSE)</f>
        <v>31.984889916274351</v>
      </c>
      <c r="S105" s="3">
        <f>VLOOKUP(A105,comp!A:F,3,FALSE)</f>
        <v>38.990217912214924</v>
      </c>
      <c r="T105" s="3">
        <f>VLOOKUP(A105,comp!A:F,4,FALSE)</f>
        <v>26.913427113579338</v>
      </c>
      <c r="U105" s="3">
        <f>VLOOKUP(A105,comp!A:F,5,FALSE)</f>
        <v>1.4546274631409799</v>
      </c>
      <c r="V105" s="3">
        <f>VLOOKUP(A105,comp!A:F,6,FALSE)</f>
        <v>0</v>
      </c>
      <c r="W105" s="3">
        <f>VLOOKUP(A105,ndvi_vegnativa!A:F,2,FALSE)</f>
        <v>0.87555738842574138</v>
      </c>
      <c r="X105" s="3">
        <f>VLOOKUP(A105,ndvi_cana!A:F,2,FALSE)</f>
        <v>0.53809436769992769</v>
      </c>
      <c r="Y105" s="3">
        <f>VLOOKUP(A105,fragmentos!A:F,2,FALSE)</f>
        <v>134.37789622629981</v>
      </c>
    </row>
    <row r="106" spans="1:25" x14ac:dyDescent="0.3">
      <c r="A106" s="3" t="s">
        <v>337</v>
      </c>
      <c r="B106" s="3" t="s">
        <v>17</v>
      </c>
      <c r="C106" s="4" t="s">
        <v>113</v>
      </c>
      <c r="D106" s="3" t="s">
        <v>41</v>
      </c>
      <c r="E106" s="5">
        <v>43011</v>
      </c>
      <c r="F106" s="6">
        <v>0.59930555555555554</v>
      </c>
      <c r="G106" s="3">
        <v>93</v>
      </c>
      <c r="H106" s="5">
        <v>43047</v>
      </c>
      <c r="I106" s="6">
        <v>0.69444444444444442</v>
      </c>
      <c r="J106" s="3">
        <v>72</v>
      </c>
      <c r="K106" s="3">
        <v>331</v>
      </c>
      <c r="L106" s="3" t="s">
        <v>299</v>
      </c>
      <c r="M106" s="3">
        <v>20</v>
      </c>
      <c r="N106" s="4" t="s">
        <v>338</v>
      </c>
      <c r="O106" s="4" t="s">
        <v>339</v>
      </c>
      <c r="P106" s="3" t="s">
        <v>340</v>
      </c>
      <c r="Q106" s="3" t="s">
        <v>341</v>
      </c>
      <c r="R106" s="3">
        <f>VLOOKUP(A106,comp!A:F,2,FALSE)</f>
        <v>39.264979426187928</v>
      </c>
      <c r="S106" s="3">
        <f>VLOOKUP(A106,comp!A:F,3,FALSE)</f>
        <v>15.45572402908517</v>
      </c>
      <c r="T106" s="3">
        <f>VLOOKUP(A106,comp!A:F,4,FALSE)</f>
        <v>10.303816019390119</v>
      </c>
      <c r="U106" s="3">
        <f>VLOOKUP(A106,comp!A:F,5,FALSE)</f>
        <v>9.850064821599684</v>
      </c>
      <c r="V106" s="3">
        <f>VLOOKUP(A106,comp!A:F,6,FALSE)</f>
        <v>24.821036018262781</v>
      </c>
      <c r="W106" s="3">
        <f>VLOOKUP(A106,ndvi_vegnativa!A:F,2,FALSE)</f>
        <v>0.6962954489509825</v>
      </c>
      <c r="X106" s="3">
        <f>VLOOKUP(A106,ndvi_cana!A:F,2,FALSE)</f>
        <v>0.6546178702850175</v>
      </c>
      <c r="Y106" s="3">
        <f>VLOOKUP(A106,fragmentos!A:F,2,FALSE)</f>
        <v>176.53282907336521</v>
      </c>
    </row>
    <row r="107" spans="1:25" x14ac:dyDescent="0.3">
      <c r="A107" s="3" t="s">
        <v>337</v>
      </c>
      <c r="B107" s="3" t="s">
        <v>24</v>
      </c>
      <c r="C107" s="4" t="s">
        <v>342</v>
      </c>
      <c r="D107" s="3" t="s">
        <v>89</v>
      </c>
      <c r="E107" s="5">
        <v>43011</v>
      </c>
      <c r="F107" s="6">
        <v>0.65694444444444444</v>
      </c>
      <c r="G107" s="3">
        <v>90</v>
      </c>
      <c r="H107" s="5">
        <v>43047</v>
      </c>
      <c r="I107" s="6">
        <v>0.66874999999999996</v>
      </c>
      <c r="J107" s="3">
        <v>75</v>
      </c>
      <c r="K107" s="3">
        <v>128</v>
      </c>
      <c r="L107" s="3" t="s">
        <v>83</v>
      </c>
      <c r="M107" s="3">
        <v>20</v>
      </c>
      <c r="N107" s="4" t="s">
        <v>343</v>
      </c>
      <c r="O107" s="4" t="s">
        <v>344</v>
      </c>
      <c r="P107" s="3" t="s">
        <v>345</v>
      </c>
      <c r="Q107" s="3" t="s">
        <v>79</v>
      </c>
      <c r="R107" s="3">
        <f>VLOOKUP(A107,comp!A:F,2,FALSE)</f>
        <v>39.264979426187928</v>
      </c>
      <c r="S107" s="3">
        <f>VLOOKUP(A107,comp!A:F,3,FALSE)</f>
        <v>15.45572402908517</v>
      </c>
      <c r="T107" s="3">
        <f>VLOOKUP(A107,comp!A:F,4,FALSE)</f>
        <v>10.303816019390119</v>
      </c>
      <c r="U107" s="3">
        <f>VLOOKUP(A107,comp!A:F,5,FALSE)</f>
        <v>9.850064821599684</v>
      </c>
      <c r="V107" s="3">
        <f>VLOOKUP(A107,comp!A:F,6,FALSE)</f>
        <v>24.821036018262781</v>
      </c>
      <c r="W107" s="3">
        <f>VLOOKUP(A107,ndvi_vegnativa!A:F,2,FALSE)</f>
        <v>0.6962954489509825</v>
      </c>
      <c r="X107" s="3">
        <f>VLOOKUP(A107,ndvi_cana!A:F,2,FALSE)</f>
        <v>0.6546178702850175</v>
      </c>
      <c r="Y107" s="3">
        <f>VLOOKUP(A107,fragmentos!A:F,2,FALSE)</f>
        <v>176.53282907336521</v>
      </c>
    </row>
    <row r="108" spans="1:25" x14ac:dyDescent="0.3">
      <c r="A108" s="3" t="s">
        <v>337</v>
      </c>
      <c r="B108" s="3" t="s">
        <v>31</v>
      </c>
      <c r="C108" s="4" t="s">
        <v>228</v>
      </c>
      <c r="D108" s="3" t="s">
        <v>102</v>
      </c>
      <c r="E108" s="5">
        <v>43011</v>
      </c>
      <c r="F108" s="6">
        <v>0.73402777777777772</v>
      </c>
      <c r="G108" s="3">
        <v>94</v>
      </c>
      <c r="H108" s="5">
        <v>43047</v>
      </c>
      <c r="I108" s="6">
        <v>0.65138888888888891</v>
      </c>
      <c r="J108" s="3">
        <v>75</v>
      </c>
      <c r="K108" s="3">
        <v>171</v>
      </c>
      <c r="L108" s="3" t="s">
        <v>123</v>
      </c>
      <c r="M108" s="3">
        <v>20</v>
      </c>
      <c r="N108" s="4" t="s">
        <v>346</v>
      </c>
      <c r="O108" s="4" t="s">
        <v>347</v>
      </c>
      <c r="P108" s="3" t="s">
        <v>348</v>
      </c>
      <c r="R108" s="3">
        <f>VLOOKUP(A108,comp!A:F,2,FALSE)</f>
        <v>39.264979426187928</v>
      </c>
      <c r="S108" s="3">
        <f>VLOOKUP(A108,comp!A:F,3,FALSE)</f>
        <v>15.45572402908517</v>
      </c>
      <c r="T108" s="3">
        <f>VLOOKUP(A108,comp!A:F,4,FALSE)</f>
        <v>10.303816019390119</v>
      </c>
      <c r="U108" s="3">
        <f>VLOOKUP(A108,comp!A:F,5,FALSE)</f>
        <v>9.850064821599684</v>
      </c>
      <c r="V108" s="3">
        <f>VLOOKUP(A108,comp!A:F,6,FALSE)</f>
        <v>24.821036018262781</v>
      </c>
      <c r="W108" s="3">
        <f>VLOOKUP(A108,ndvi_vegnativa!A:F,2,FALSE)</f>
        <v>0.6962954489509825</v>
      </c>
      <c r="X108" s="3">
        <f>VLOOKUP(A108,ndvi_cana!A:F,2,FALSE)</f>
        <v>0.6546178702850175</v>
      </c>
      <c r="Y108" s="3">
        <f>VLOOKUP(A108,fragmentos!A:F,2,FALSE)</f>
        <v>176.53282907336521</v>
      </c>
    </row>
    <row r="109" spans="1:25" x14ac:dyDescent="0.3">
      <c r="A109" s="3" t="s">
        <v>273</v>
      </c>
      <c r="B109" s="3" t="s">
        <v>17</v>
      </c>
      <c r="C109" s="4" t="s">
        <v>88</v>
      </c>
      <c r="D109" s="3" t="s">
        <v>128</v>
      </c>
      <c r="E109" s="5">
        <v>42979</v>
      </c>
      <c r="F109" s="6">
        <v>0.43194444444444446</v>
      </c>
      <c r="G109" s="3">
        <v>95</v>
      </c>
      <c r="H109" s="5">
        <v>43010</v>
      </c>
      <c r="I109" s="6">
        <v>0.35902777777777778</v>
      </c>
      <c r="J109" s="3" t="s">
        <v>163</v>
      </c>
      <c r="K109" s="3">
        <v>80</v>
      </c>
      <c r="L109" s="3" t="s">
        <v>83</v>
      </c>
      <c r="M109" s="4" t="s">
        <v>63</v>
      </c>
      <c r="N109" s="4" t="s">
        <v>274</v>
      </c>
      <c r="O109" s="4" t="s">
        <v>275</v>
      </c>
      <c r="P109" s="3" t="s">
        <v>276</v>
      </c>
      <c r="R109" s="3">
        <f>VLOOKUP(A109,comp!A:F,2,FALSE)</f>
        <v>25.964220312720101</v>
      </c>
      <c r="S109" s="3">
        <f>VLOOKUP(A109,comp!A:F,3,FALSE)</f>
        <v>42.048175799408369</v>
      </c>
      <c r="T109" s="3">
        <f>VLOOKUP(A109,comp!A:F,4,FALSE)</f>
        <v>26.851669249190032</v>
      </c>
      <c r="U109" s="3">
        <f>VLOOKUP(A109,comp!A:F,5,FALSE)</f>
        <v>2.070714185096493</v>
      </c>
      <c r="V109" s="3">
        <f>VLOOKUP(A109,comp!A:F,6,FALSE)</f>
        <v>2.12424285110579</v>
      </c>
      <c r="W109" s="3">
        <f>VLOOKUP(A109,ndvi_vegnativa!A:F,2,FALSE)</f>
        <v>0.81017832024534819</v>
      </c>
      <c r="X109" s="3">
        <f>VLOOKUP(A109,ndvi_cana!A:F,2,FALSE)</f>
        <v>0.63725818259722888</v>
      </c>
      <c r="Y109" s="3">
        <f>VLOOKUP(A109,fragmentos!A:F,2,FALSE)</f>
        <v>122.9515680450631</v>
      </c>
    </row>
    <row r="110" spans="1:25" x14ac:dyDescent="0.3">
      <c r="A110" s="3" t="s">
        <v>273</v>
      </c>
      <c r="B110" s="3" t="s">
        <v>24</v>
      </c>
      <c r="C110" s="4" t="s">
        <v>81</v>
      </c>
      <c r="D110" s="3" t="s">
        <v>277</v>
      </c>
      <c r="E110" s="5">
        <v>42979</v>
      </c>
      <c r="F110" s="6">
        <v>0.54583333333333328</v>
      </c>
      <c r="G110" s="3">
        <v>95</v>
      </c>
      <c r="H110" s="5">
        <v>43010</v>
      </c>
      <c r="I110" s="6">
        <v>0.37847222222222221</v>
      </c>
      <c r="J110" s="3" t="s">
        <v>163</v>
      </c>
      <c r="K110" s="3">
        <v>233</v>
      </c>
      <c r="L110" s="3" t="s">
        <v>83</v>
      </c>
      <c r="M110" s="4" t="s">
        <v>35</v>
      </c>
      <c r="N110" s="4" t="s">
        <v>278</v>
      </c>
      <c r="O110" s="4" t="s">
        <v>279</v>
      </c>
      <c r="P110" s="3" t="s">
        <v>280</v>
      </c>
      <c r="R110" s="3">
        <f>VLOOKUP(A110,comp!A:F,2,FALSE)</f>
        <v>25.964220312720101</v>
      </c>
      <c r="S110" s="3">
        <f>VLOOKUP(A110,comp!A:F,3,FALSE)</f>
        <v>42.048175799408369</v>
      </c>
      <c r="T110" s="3">
        <f>VLOOKUP(A110,comp!A:F,4,FALSE)</f>
        <v>26.851669249190032</v>
      </c>
      <c r="U110" s="3">
        <f>VLOOKUP(A110,comp!A:F,5,FALSE)</f>
        <v>2.070714185096493</v>
      </c>
      <c r="V110" s="3">
        <f>VLOOKUP(A110,comp!A:F,6,FALSE)</f>
        <v>2.12424285110579</v>
      </c>
      <c r="W110" s="3">
        <f>VLOOKUP(A110,ndvi_vegnativa!A:F,2,FALSE)</f>
        <v>0.81017832024534819</v>
      </c>
      <c r="X110" s="3">
        <f>VLOOKUP(A110,ndvi_cana!A:F,2,FALSE)</f>
        <v>0.63725818259722888</v>
      </c>
      <c r="Y110" s="3">
        <f>VLOOKUP(A110,fragmentos!A:F,2,FALSE)</f>
        <v>122.9515680450631</v>
      </c>
    </row>
    <row r="111" spans="1:25" x14ac:dyDescent="0.3">
      <c r="A111" s="3" t="s">
        <v>273</v>
      </c>
      <c r="B111" s="3" t="s">
        <v>31</v>
      </c>
      <c r="C111" s="4" t="s">
        <v>94</v>
      </c>
      <c r="D111" s="3" t="s">
        <v>169</v>
      </c>
      <c r="E111" s="5">
        <v>42979</v>
      </c>
      <c r="F111" s="6">
        <v>0.67847222222222225</v>
      </c>
      <c r="G111" s="3">
        <v>93</v>
      </c>
      <c r="H111" s="5">
        <v>43010</v>
      </c>
      <c r="I111" s="6">
        <v>0.33819444444444446</v>
      </c>
      <c r="J111" s="3">
        <v>77</v>
      </c>
      <c r="K111" s="3">
        <v>171</v>
      </c>
      <c r="L111" s="3" t="s">
        <v>123</v>
      </c>
      <c r="M111" s="4" t="s">
        <v>55</v>
      </c>
      <c r="N111" s="4" t="s">
        <v>281</v>
      </c>
      <c r="O111" s="4" t="s">
        <v>282</v>
      </c>
      <c r="P111" s="3" t="s">
        <v>283</v>
      </c>
      <c r="R111" s="3">
        <f>VLOOKUP(A111,comp!A:F,2,FALSE)</f>
        <v>25.964220312720101</v>
      </c>
      <c r="S111" s="3">
        <f>VLOOKUP(A111,comp!A:F,3,FALSE)</f>
        <v>42.048175799408369</v>
      </c>
      <c r="T111" s="3">
        <f>VLOOKUP(A111,comp!A:F,4,FALSE)</f>
        <v>26.851669249190032</v>
      </c>
      <c r="U111" s="3">
        <f>VLOOKUP(A111,comp!A:F,5,FALSE)</f>
        <v>2.070714185096493</v>
      </c>
      <c r="V111" s="3">
        <f>VLOOKUP(A111,comp!A:F,6,FALSE)</f>
        <v>2.12424285110579</v>
      </c>
      <c r="W111" s="3">
        <f>VLOOKUP(A111,ndvi_vegnativa!A:F,2,FALSE)</f>
        <v>0.81017832024534819</v>
      </c>
      <c r="X111" s="3">
        <f>VLOOKUP(A111,ndvi_cana!A:F,2,FALSE)</f>
        <v>0.63725818259722888</v>
      </c>
      <c r="Y111" s="3">
        <f>VLOOKUP(A111,fragmentos!A:F,2,FALSE)</f>
        <v>122.9515680450631</v>
      </c>
    </row>
    <row r="112" spans="1:25" x14ac:dyDescent="0.3">
      <c r="A112" s="3" t="s">
        <v>121</v>
      </c>
      <c r="B112" s="3" t="s">
        <v>17</v>
      </c>
      <c r="C112" s="4" t="s">
        <v>18</v>
      </c>
      <c r="D112" s="3" t="s">
        <v>122</v>
      </c>
      <c r="E112" s="5">
        <v>42919</v>
      </c>
      <c r="F112" s="6">
        <v>0.61388888888888893</v>
      </c>
      <c r="G112" s="3">
        <v>91</v>
      </c>
      <c r="H112" s="5">
        <v>42947</v>
      </c>
      <c r="I112" s="6">
        <v>0.34097222222222223</v>
      </c>
      <c r="J112" s="3">
        <v>15</v>
      </c>
      <c r="K112" s="3">
        <v>144</v>
      </c>
      <c r="L112" s="3" t="s">
        <v>123</v>
      </c>
      <c r="M112" s="4" t="s">
        <v>124</v>
      </c>
      <c r="N112" s="4" t="s">
        <v>125</v>
      </c>
      <c r="O112" s="4" t="s">
        <v>126</v>
      </c>
      <c r="P112" s="3" t="s">
        <v>127</v>
      </c>
      <c r="R112" s="3">
        <f>VLOOKUP(A112,comp!A:F,2,FALSE)</f>
        <v>4.9019055135866507</v>
      </c>
      <c r="S112" s="3">
        <f>VLOOKUP(A112,comp!A:F,3,FALSE)</f>
        <v>54.183109707971589</v>
      </c>
      <c r="T112" s="3">
        <f>VLOOKUP(A112,comp!A:F,4,FALSE)</f>
        <v>25.693426541887469</v>
      </c>
      <c r="U112" s="3">
        <f>VLOOKUP(A112,comp!A:F,5,FALSE)</f>
        <v>1.197993009358439</v>
      </c>
      <c r="V112" s="3">
        <f>VLOOKUP(A112,comp!A:F,6,FALSE)</f>
        <v>11.320329236667041</v>
      </c>
      <c r="W112" s="3">
        <f>VLOOKUP(A112,ndvi_vegnativa!A:F,2,FALSE)</f>
        <v>0.74449506173381585</v>
      </c>
      <c r="X112" s="3">
        <f>VLOOKUP(A112,ndvi_cana!A:F,2,FALSE)</f>
        <v>0.54377392848795358</v>
      </c>
      <c r="Y112" s="3">
        <f>VLOOKUP(A112,fragmentos!A:F,2,FALSE)</f>
        <v>193.73821921138139</v>
      </c>
    </row>
    <row r="113" spans="1:25" x14ac:dyDescent="0.3">
      <c r="A113" s="3" t="s">
        <v>121</v>
      </c>
      <c r="B113" s="3" t="s">
        <v>24</v>
      </c>
      <c r="C113" s="4" t="s">
        <v>25</v>
      </c>
      <c r="D113" s="3" t="s">
        <v>128</v>
      </c>
      <c r="E113" s="5">
        <v>42919</v>
      </c>
      <c r="F113" s="6">
        <v>0.5854166666666667</v>
      </c>
      <c r="G113" s="3">
        <v>91</v>
      </c>
      <c r="H113" s="5">
        <v>42947</v>
      </c>
      <c r="I113" s="6">
        <v>0.35694444444444445</v>
      </c>
      <c r="J113" s="3">
        <v>65</v>
      </c>
      <c r="K113" s="3">
        <v>231</v>
      </c>
      <c r="L113" s="3" t="s">
        <v>115</v>
      </c>
      <c r="M113" s="4" t="s">
        <v>129</v>
      </c>
      <c r="N113" s="4" t="s">
        <v>130</v>
      </c>
      <c r="O113" s="4" t="s">
        <v>131</v>
      </c>
      <c r="P113" s="3" t="s">
        <v>132</v>
      </c>
      <c r="R113" s="3">
        <f>VLOOKUP(A113,comp!A:F,2,FALSE)</f>
        <v>4.9019055135866507</v>
      </c>
      <c r="S113" s="3">
        <f>VLOOKUP(A113,comp!A:F,3,FALSE)</f>
        <v>54.183109707971589</v>
      </c>
      <c r="T113" s="3">
        <f>VLOOKUP(A113,comp!A:F,4,FALSE)</f>
        <v>25.693426541887469</v>
      </c>
      <c r="U113" s="3">
        <f>VLOOKUP(A113,comp!A:F,5,FALSE)</f>
        <v>1.197993009358439</v>
      </c>
      <c r="V113" s="3">
        <f>VLOOKUP(A113,comp!A:F,6,FALSE)</f>
        <v>11.320329236667041</v>
      </c>
      <c r="W113" s="3">
        <f>VLOOKUP(A113,ndvi_vegnativa!A:F,2,FALSE)</f>
        <v>0.74449506173381585</v>
      </c>
      <c r="X113" s="3">
        <f>VLOOKUP(A113,ndvi_cana!A:F,2,FALSE)</f>
        <v>0.54377392848795358</v>
      </c>
      <c r="Y113" s="3">
        <f>VLOOKUP(A113,fragmentos!A:F,2,FALSE)</f>
        <v>193.73821921138139</v>
      </c>
    </row>
    <row r="114" spans="1:25" x14ac:dyDescent="0.3">
      <c r="A114" s="3" t="s">
        <v>121</v>
      </c>
      <c r="B114" s="3" t="s">
        <v>31</v>
      </c>
      <c r="C114" s="4" t="s">
        <v>32</v>
      </c>
      <c r="D114" s="3" t="s">
        <v>133</v>
      </c>
      <c r="E114" s="5">
        <v>42919</v>
      </c>
      <c r="F114" s="6">
        <v>0.47847222222222224</v>
      </c>
      <c r="G114" s="3">
        <v>93</v>
      </c>
      <c r="H114" s="5">
        <v>42947</v>
      </c>
      <c r="I114" s="6">
        <v>0.37708333333333333</v>
      </c>
      <c r="J114" s="3">
        <v>73</v>
      </c>
      <c r="K114" s="3">
        <v>131</v>
      </c>
      <c r="L114" s="3" t="s">
        <v>123</v>
      </c>
      <c r="M114" s="4" t="s">
        <v>129</v>
      </c>
      <c r="N114" s="4" t="s">
        <v>134</v>
      </c>
      <c r="O114" s="4" t="s">
        <v>135</v>
      </c>
      <c r="P114" s="7" t="s">
        <v>136</v>
      </c>
      <c r="R114" s="3">
        <f>VLOOKUP(A114,comp!A:F,2,FALSE)</f>
        <v>4.9019055135866507</v>
      </c>
      <c r="S114" s="3">
        <f>VLOOKUP(A114,comp!A:F,3,FALSE)</f>
        <v>54.183109707971589</v>
      </c>
      <c r="T114" s="3">
        <f>VLOOKUP(A114,comp!A:F,4,FALSE)</f>
        <v>25.693426541887469</v>
      </c>
      <c r="U114" s="3">
        <f>VLOOKUP(A114,comp!A:F,5,FALSE)</f>
        <v>1.197993009358439</v>
      </c>
      <c r="V114" s="3">
        <f>VLOOKUP(A114,comp!A:F,6,FALSE)</f>
        <v>11.320329236667041</v>
      </c>
      <c r="W114" s="3">
        <f>VLOOKUP(A114,ndvi_vegnativa!A:F,2,FALSE)</f>
        <v>0.74449506173381585</v>
      </c>
      <c r="X114" s="3">
        <f>VLOOKUP(A114,ndvi_cana!A:F,2,FALSE)</f>
        <v>0.54377392848795358</v>
      </c>
      <c r="Y114" s="3">
        <f>VLOOKUP(A114,fragmentos!A:F,2,FALSE)</f>
        <v>193.73821921138139</v>
      </c>
    </row>
    <row r="115" spans="1:25" x14ac:dyDescent="0.3">
      <c r="A115" s="3" t="s">
        <v>458</v>
      </c>
      <c r="B115" s="3" t="s">
        <v>17</v>
      </c>
      <c r="C115" s="4" t="s">
        <v>74</v>
      </c>
      <c r="D115" s="3" t="s">
        <v>128</v>
      </c>
      <c r="E115" s="5">
        <v>43228</v>
      </c>
      <c r="F115" s="6">
        <v>0.38611111111111113</v>
      </c>
      <c r="G115" s="3">
        <v>97</v>
      </c>
      <c r="H115" s="5">
        <v>43262</v>
      </c>
      <c r="I115" s="6">
        <v>0.33124999999999999</v>
      </c>
      <c r="J115" s="3">
        <v>83</v>
      </c>
      <c r="K115" s="3">
        <v>186</v>
      </c>
      <c r="L115" s="3" t="s">
        <v>123</v>
      </c>
      <c r="M115" s="3">
        <v>20</v>
      </c>
      <c r="N115" s="4" t="s">
        <v>459</v>
      </c>
      <c r="O115" s="4" t="s">
        <v>460</v>
      </c>
      <c r="P115" s="3" t="s">
        <v>461</v>
      </c>
      <c r="R115" s="3">
        <f>VLOOKUP(A115,comp!A:F,2,FALSE)</f>
        <v>40.527740189445197</v>
      </c>
      <c r="S115" s="3">
        <f>VLOOKUP(A115,comp!A:F,3,FALSE)</f>
        <v>18.203089760938209</v>
      </c>
      <c r="T115" s="3">
        <f>VLOOKUP(A115,comp!A:F,4,FALSE)</f>
        <v>33.871786197564283</v>
      </c>
      <c r="U115" s="3">
        <f>VLOOKUP(A115,comp!A:F,5,FALSE)</f>
        <v>6.9209517365809656</v>
      </c>
      <c r="V115" s="3">
        <f>VLOOKUP(A115,comp!A:F,6,FALSE)</f>
        <v>0.1973387460532251</v>
      </c>
      <c r="W115" s="3">
        <f>VLOOKUP(A115,ndvi_vegnativa!A:F,2,FALSE)</f>
        <v>0.81765830196391609</v>
      </c>
      <c r="X115" s="3">
        <f>VLOOKUP(A115,ndvi_cana!A:F,2,FALSE)</f>
        <v>0.4632812322047174</v>
      </c>
      <c r="Y115" s="3">
        <f>VLOOKUP(A115,fragmentos!A:F,2,FALSE)</f>
        <v>111.6404683258995</v>
      </c>
    </row>
    <row r="116" spans="1:25" x14ac:dyDescent="0.3">
      <c r="A116" s="3" t="s">
        <v>458</v>
      </c>
      <c r="B116" s="3" t="s">
        <v>24</v>
      </c>
      <c r="C116" s="4" t="s">
        <v>113</v>
      </c>
      <c r="D116" s="6" t="s">
        <v>156</v>
      </c>
      <c r="E116" s="5">
        <v>43228</v>
      </c>
      <c r="F116" s="6">
        <v>0.48194444444444445</v>
      </c>
      <c r="G116" s="3">
        <v>97</v>
      </c>
      <c r="H116" s="5">
        <v>43262</v>
      </c>
      <c r="I116" s="6">
        <v>0.31041666666666667</v>
      </c>
      <c r="J116" s="3">
        <v>83</v>
      </c>
      <c r="K116" s="3">
        <v>329</v>
      </c>
      <c r="L116" s="3" t="s">
        <v>34</v>
      </c>
      <c r="M116" s="3">
        <v>11</v>
      </c>
      <c r="N116" s="4" t="s">
        <v>462</v>
      </c>
      <c r="O116" s="4" t="s">
        <v>463</v>
      </c>
      <c r="P116" s="3" t="s">
        <v>464</v>
      </c>
      <c r="R116" s="3">
        <f>VLOOKUP(A116,comp!A:F,2,FALSE)</f>
        <v>40.527740189445197</v>
      </c>
      <c r="S116" s="3">
        <f>VLOOKUP(A116,comp!A:F,3,FALSE)</f>
        <v>18.203089760938209</v>
      </c>
      <c r="T116" s="3">
        <f>VLOOKUP(A116,comp!A:F,4,FALSE)</f>
        <v>33.871786197564283</v>
      </c>
      <c r="U116" s="3">
        <f>VLOOKUP(A116,comp!A:F,5,FALSE)</f>
        <v>6.9209517365809656</v>
      </c>
      <c r="V116" s="3">
        <f>VLOOKUP(A116,comp!A:F,6,FALSE)</f>
        <v>0.1973387460532251</v>
      </c>
      <c r="W116" s="3">
        <f>VLOOKUP(A116,ndvi_vegnativa!A:F,2,FALSE)</f>
        <v>0.81765830196391609</v>
      </c>
      <c r="X116" s="3">
        <f>VLOOKUP(A116,ndvi_cana!A:F,2,FALSE)</f>
        <v>0.4632812322047174</v>
      </c>
      <c r="Y116" s="3">
        <f>VLOOKUP(A116,fragmentos!A:F,2,FALSE)</f>
        <v>111.6404683258995</v>
      </c>
    </row>
    <row r="117" spans="1:25" x14ac:dyDescent="0.3">
      <c r="A117" s="3" t="s">
        <v>458</v>
      </c>
      <c r="B117" s="3" t="s">
        <v>31</v>
      </c>
      <c r="C117" s="4" t="s">
        <v>94</v>
      </c>
      <c r="D117" s="3" t="s">
        <v>146</v>
      </c>
      <c r="E117" s="5">
        <v>43228</v>
      </c>
      <c r="F117" s="6">
        <v>0.51666666666666672</v>
      </c>
      <c r="G117" s="3">
        <v>96</v>
      </c>
      <c r="H117" s="5">
        <v>43262</v>
      </c>
      <c r="I117" s="6">
        <v>0.32013888888888886</v>
      </c>
      <c r="J117" s="3">
        <v>81</v>
      </c>
      <c r="K117" s="3">
        <v>214</v>
      </c>
      <c r="L117" s="3" t="s">
        <v>123</v>
      </c>
      <c r="M117" s="3">
        <v>12</v>
      </c>
      <c r="N117" s="4" t="s">
        <v>465</v>
      </c>
      <c r="O117" s="4" t="s">
        <v>466</v>
      </c>
      <c r="P117" s="3" t="s">
        <v>467</v>
      </c>
      <c r="R117" s="3">
        <f>VLOOKUP(A117,comp!A:F,2,FALSE)</f>
        <v>40.527740189445197</v>
      </c>
      <c r="S117" s="3">
        <f>VLOOKUP(A117,comp!A:F,3,FALSE)</f>
        <v>18.203089760938209</v>
      </c>
      <c r="T117" s="3">
        <f>VLOOKUP(A117,comp!A:F,4,FALSE)</f>
        <v>33.871786197564283</v>
      </c>
      <c r="U117" s="3">
        <f>VLOOKUP(A117,comp!A:F,5,FALSE)</f>
        <v>6.9209517365809656</v>
      </c>
      <c r="V117" s="3">
        <f>VLOOKUP(A117,comp!A:F,6,FALSE)</f>
        <v>0.1973387460532251</v>
      </c>
      <c r="W117" s="3">
        <f>VLOOKUP(A117,ndvi_vegnativa!A:F,2,FALSE)</f>
        <v>0.81765830196391609</v>
      </c>
      <c r="X117" s="3">
        <f>VLOOKUP(A117,ndvi_cana!A:F,2,FALSE)</f>
        <v>0.4632812322047174</v>
      </c>
      <c r="Y117" s="3">
        <f>VLOOKUP(A117,fragmentos!A:F,2,FALSE)</f>
        <v>111.6404683258995</v>
      </c>
    </row>
    <row r="118" spans="1:25" x14ac:dyDescent="0.3">
      <c r="A118" s="3" t="s">
        <v>370</v>
      </c>
      <c r="B118" s="3" t="s">
        <v>17</v>
      </c>
      <c r="C118" s="4" t="s">
        <v>342</v>
      </c>
      <c r="D118" s="3" t="s">
        <v>89</v>
      </c>
      <c r="E118" s="5">
        <v>43193</v>
      </c>
      <c r="F118" s="6">
        <v>0.40208333333333335</v>
      </c>
      <c r="G118" s="3">
        <v>99</v>
      </c>
      <c r="H118" s="5">
        <v>43222</v>
      </c>
      <c r="I118" s="6">
        <v>0.61527777777777781</v>
      </c>
      <c r="J118" s="3">
        <v>82</v>
      </c>
      <c r="K118" s="3">
        <v>109</v>
      </c>
      <c r="L118" s="3" t="s">
        <v>166</v>
      </c>
      <c r="M118" s="3">
        <v>13</v>
      </c>
      <c r="N118" s="4" t="s">
        <v>371</v>
      </c>
      <c r="O118" s="4" t="s">
        <v>372</v>
      </c>
      <c r="P118" s="3" t="s">
        <v>373</v>
      </c>
      <c r="Q118" s="3" t="s">
        <v>374</v>
      </c>
      <c r="R118" s="3">
        <f>VLOOKUP(A118,comp!A:F,2,FALSE)</f>
        <v>20.41029109251275</v>
      </c>
      <c r="S118" s="3">
        <f>VLOOKUP(A118,comp!A:F,3,FALSE)</f>
        <v>29.174063741651871</v>
      </c>
      <c r="T118" s="3">
        <f>VLOOKUP(A118,comp!A:F,4,FALSE)</f>
        <v>40.710682785245297</v>
      </c>
      <c r="U118" s="3">
        <f>VLOOKUP(A118,comp!A:F,5,FALSE)</f>
        <v>8.2621805168089715</v>
      </c>
      <c r="V118" s="3">
        <f>VLOOKUP(A118,comp!A:F,6,FALSE)</f>
        <v>0.21134499957731001</v>
      </c>
      <c r="W118" s="3">
        <f>VLOOKUP(A118,ndvi_vegnativa!A:F,2,FALSE)</f>
        <v>0.78038628294786194</v>
      </c>
      <c r="X118" s="3">
        <f>VLOOKUP(A118,ndvi_cana!A:F,2,FALSE)</f>
        <v>0.58324281357698182</v>
      </c>
      <c r="Y118" s="3">
        <f>VLOOKUP(A118,fragmentos!A:F,2,FALSE)</f>
        <v>110.60093924281951</v>
      </c>
    </row>
    <row r="119" spans="1:25" x14ac:dyDescent="0.3">
      <c r="A119" s="3" t="s">
        <v>370</v>
      </c>
      <c r="B119" s="3" t="s">
        <v>24</v>
      </c>
      <c r="C119" s="4" t="s">
        <v>32</v>
      </c>
      <c r="D119" s="3" t="s">
        <v>95</v>
      </c>
      <c r="E119" s="5">
        <v>43193</v>
      </c>
      <c r="F119" s="6">
        <v>0.4909722222222222</v>
      </c>
      <c r="G119" s="3">
        <v>99</v>
      </c>
      <c r="H119" s="5">
        <v>43222</v>
      </c>
      <c r="I119" s="6">
        <v>0.62986111111111109</v>
      </c>
      <c r="J119" s="3">
        <v>88</v>
      </c>
      <c r="K119" s="3">
        <v>141</v>
      </c>
      <c r="L119" s="3" t="s">
        <v>83</v>
      </c>
      <c r="M119" s="4" t="s">
        <v>152</v>
      </c>
      <c r="N119" s="4" t="s">
        <v>375</v>
      </c>
      <c r="O119" s="4" t="s">
        <v>376</v>
      </c>
      <c r="P119" s="3" t="s">
        <v>377</v>
      </c>
      <c r="R119" s="3">
        <f>VLOOKUP(A119,comp!A:F,2,FALSE)</f>
        <v>20.41029109251275</v>
      </c>
      <c r="S119" s="3">
        <f>VLOOKUP(A119,comp!A:F,3,FALSE)</f>
        <v>29.174063741651871</v>
      </c>
      <c r="T119" s="3">
        <f>VLOOKUP(A119,comp!A:F,4,FALSE)</f>
        <v>40.710682785245297</v>
      </c>
      <c r="U119" s="3">
        <f>VLOOKUP(A119,comp!A:F,5,FALSE)</f>
        <v>8.2621805168089715</v>
      </c>
      <c r="V119" s="3">
        <f>VLOOKUP(A119,comp!A:F,6,FALSE)</f>
        <v>0.21134499957731001</v>
      </c>
      <c r="W119" s="3">
        <f>VLOOKUP(A119,ndvi_vegnativa!A:F,2,FALSE)</f>
        <v>0.78038628294786194</v>
      </c>
      <c r="X119" s="3">
        <f>VLOOKUP(A119,ndvi_cana!A:F,2,FALSE)</f>
        <v>0.58324281357698182</v>
      </c>
      <c r="Y119" s="3">
        <f>VLOOKUP(A119,fragmentos!A:F,2,FALSE)</f>
        <v>110.60093924281951</v>
      </c>
    </row>
    <row r="120" spans="1:25" x14ac:dyDescent="0.3">
      <c r="A120" s="3" t="s">
        <v>370</v>
      </c>
      <c r="B120" s="3" t="s">
        <v>31</v>
      </c>
      <c r="C120" s="4" t="s">
        <v>46</v>
      </c>
      <c r="D120" s="3" t="s">
        <v>75</v>
      </c>
      <c r="E120" s="5">
        <v>43193</v>
      </c>
      <c r="F120" s="6">
        <v>0.45555555555555555</v>
      </c>
      <c r="G120" s="3">
        <v>99</v>
      </c>
      <c r="H120" s="5">
        <v>43222</v>
      </c>
      <c r="I120" s="6">
        <v>0.6069444444444444</v>
      </c>
      <c r="J120" s="3">
        <v>84</v>
      </c>
      <c r="K120" s="3">
        <v>102</v>
      </c>
      <c r="L120" s="3" t="s">
        <v>83</v>
      </c>
      <c r="M120" s="4" t="s">
        <v>35</v>
      </c>
      <c r="N120" s="4" t="s">
        <v>378</v>
      </c>
      <c r="O120" s="4" t="s">
        <v>379</v>
      </c>
      <c r="P120" s="3" t="s">
        <v>380</v>
      </c>
      <c r="R120" s="3">
        <f>VLOOKUP(A120,comp!A:F,2,FALSE)</f>
        <v>20.41029109251275</v>
      </c>
      <c r="S120" s="3">
        <f>VLOOKUP(A120,comp!A:F,3,FALSE)</f>
        <v>29.174063741651871</v>
      </c>
      <c r="T120" s="3">
        <f>VLOOKUP(A120,comp!A:F,4,FALSE)</f>
        <v>40.710682785245297</v>
      </c>
      <c r="U120" s="3">
        <f>VLOOKUP(A120,comp!A:F,5,FALSE)</f>
        <v>8.2621805168089715</v>
      </c>
      <c r="V120" s="3">
        <f>VLOOKUP(A120,comp!A:F,6,FALSE)</f>
        <v>0.21134499957731001</v>
      </c>
      <c r="W120" s="3">
        <f>VLOOKUP(A120,ndvi_vegnativa!A:F,2,FALSE)</f>
        <v>0.78038628294786194</v>
      </c>
      <c r="X120" s="3">
        <f>VLOOKUP(A120,ndvi_cana!A:F,2,FALSE)</f>
        <v>0.58324281357698182</v>
      </c>
      <c r="Y120" s="3">
        <f>VLOOKUP(A120,fragmentos!A:F,2,FALSE)</f>
        <v>110.60093924281951</v>
      </c>
    </row>
    <row r="121" spans="1:25" x14ac:dyDescent="0.3">
      <c r="A121" s="3" t="s">
        <v>513</v>
      </c>
      <c r="B121" s="3" t="s">
        <v>17</v>
      </c>
      <c r="C121" s="4" t="s">
        <v>415</v>
      </c>
      <c r="D121" s="3" t="s">
        <v>95</v>
      </c>
      <c r="E121" s="5">
        <v>43263</v>
      </c>
      <c r="F121" s="6">
        <v>0.42916666666666664</v>
      </c>
      <c r="G121" s="3">
        <v>95</v>
      </c>
      <c r="H121" s="5">
        <v>43291</v>
      </c>
      <c r="I121" s="6">
        <v>0.32708333333333334</v>
      </c>
      <c r="J121" s="3">
        <v>85</v>
      </c>
      <c r="K121" s="3">
        <v>196</v>
      </c>
      <c r="L121" s="3" t="s">
        <v>34</v>
      </c>
      <c r="M121" s="3">
        <v>7.5</v>
      </c>
      <c r="N121" s="4" t="s">
        <v>514</v>
      </c>
      <c r="O121" s="4" t="s">
        <v>515</v>
      </c>
      <c r="P121" s="3" t="s">
        <v>516</v>
      </c>
      <c r="Q121" s="3" t="s">
        <v>517</v>
      </c>
      <c r="R121" s="3">
        <f>VLOOKUP(A121,comp!A:F,2,FALSE)</f>
        <v>19.03728546064313</v>
      </c>
      <c r="S121" s="3">
        <f>VLOOKUP(A121,comp!A:F,3,FALSE)</f>
        <v>1.6824958430797849</v>
      </c>
      <c r="T121" s="3">
        <f>VLOOKUP(A121,comp!A:F,4,FALSE)</f>
        <v>43.133331454499327</v>
      </c>
      <c r="U121" s="3">
        <f>VLOOKUP(A121,comp!A:F,5,FALSE)</f>
        <v>7.0653552405377216</v>
      </c>
      <c r="V121" s="3">
        <f>VLOOKUP(A121,comp!A:F,6,FALSE)</f>
        <v>0.83138404306287528</v>
      </c>
      <c r="W121" s="3">
        <f>VLOOKUP(A121,ndvi_vegnativa!A:F,2,FALSE)</f>
        <v>0.72286592250445592</v>
      </c>
      <c r="X121" s="3">
        <f>VLOOKUP(A121,ndvi_cana!A:F,2,FALSE)</f>
        <v>0.46441529798097042</v>
      </c>
      <c r="Y121" s="3">
        <f>VLOOKUP(A121,fragmentos!A:F,2,FALSE)</f>
        <v>98.020595078359847</v>
      </c>
    </row>
    <row r="122" spans="1:25" x14ac:dyDescent="0.3">
      <c r="A122" s="3" t="s">
        <v>513</v>
      </c>
      <c r="B122" s="3" t="s">
        <v>24</v>
      </c>
      <c r="C122" s="4" t="s">
        <v>419</v>
      </c>
      <c r="D122" s="3" t="s">
        <v>41</v>
      </c>
      <c r="E122" s="5">
        <v>43263</v>
      </c>
      <c r="F122" s="6">
        <v>0.46319444444444446</v>
      </c>
      <c r="G122" s="3">
        <v>97</v>
      </c>
      <c r="H122" s="5">
        <v>43291</v>
      </c>
      <c r="I122" s="6">
        <v>0.29791666666666666</v>
      </c>
      <c r="J122" s="3">
        <v>87</v>
      </c>
      <c r="K122" s="3">
        <v>225</v>
      </c>
      <c r="L122" s="3" t="s">
        <v>509</v>
      </c>
      <c r="M122" s="3">
        <v>6.5</v>
      </c>
      <c r="N122" s="4" t="s">
        <v>518</v>
      </c>
      <c r="O122" s="4" t="s">
        <v>519</v>
      </c>
      <c r="P122" s="3" t="s">
        <v>520</v>
      </c>
      <c r="R122" s="3">
        <f>VLOOKUP(A122,comp!A:F,2,FALSE)</f>
        <v>19.03728546064313</v>
      </c>
      <c r="S122" s="3">
        <f>VLOOKUP(A122,comp!A:F,3,FALSE)</f>
        <v>1.6824958430797849</v>
      </c>
      <c r="T122" s="3">
        <f>VLOOKUP(A122,comp!A:F,4,FALSE)</f>
        <v>43.133331454499327</v>
      </c>
      <c r="U122" s="3">
        <f>VLOOKUP(A122,comp!A:F,5,FALSE)</f>
        <v>7.0653552405377216</v>
      </c>
      <c r="V122" s="3">
        <f>VLOOKUP(A122,comp!A:F,6,FALSE)</f>
        <v>0.83138404306287528</v>
      </c>
      <c r="W122" s="3">
        <f>VLOOKUP(A122,ndvi_vegnativa!A:F,2,FALSE)</f>
        <v>0.72286592250445592</v>
      </c>
      <c r="X122" s="3">
        <f>VLOOKUP(A122,ndvi_cana!A:F,2,FALSE)</f>
        <v>0.46441529798097042</v>
      </c>
      <c r="Y122" s="3">
        <f>VLOOKUP(A122,fragmentos!A:F,2,FALSE)</f>
        <v>98.020595078359847</v>
      </c>
    </row>
    <row r="123" spans="1:25" x14ac:dyDescent="0.3">
      <c r="A123" s="3" t="s">
        <v>513</v>
      </c>
      <c r="B123" s="3" t="s">
        <v>31</v>
      </c>
      <c r="C123" s="4" t="s">
        <v>52</v>
      </c>
      <c r="D123" s="3" t="s">
        <v>62</v>
      </c>
      <c r="E123" s="5">
        <v>43263</v>
      </c>
      <c r="F123" s="6">
        <v>0.52777777777777779</v>
      </c>
      <c r="G123" s="3">
        <v>95</v>
      </c>
      <c r="H123" s="5">
        <v>43291</v>
      </c>
      <c r="I123" s="6">
        <v>0.35069444444444442</v>
      </c>
      <c r="J123" s="3">
        <v>79</v>
      </c>
      <c r="K123" s="3">
        <v>308</v>
      </c>
      <c r="L123" s="3" t="s">
        <v>83</v>
      </c>
      <c r="M123" s="3">
        <v>7</v>
      </c>
      <c r="N123" s="4" t="s">
        <v>521</v>
      </c>
      <c r="O123" s="4" t="s">
        <v>522</v>
      </c>
      <c r="P123" s="3" t="s">
        <v>523</v>
      </c>
      <c r="Q123" s="3" t="s">
        <v>524</v>
      </c>
      <c r="R123" s="3">
        <f>VLOOKUP(A123,comp!A:F,2,FALSE)</f>
        <v>19.03728546064313</v>
      </c>
      <c r="S123" s="3">
        <f>VLOOKUP(A123,comp!A:F,3,FALSE)</f>
        <v>1.6824958430797849</v>
      </c>
      <c r="T123" s="3">
        <f>VLOOKUP(A123,comp!A:F,4,FALSE)</f>
        <v>43.133331454499327</v>
      </c>
      <c r="U123" s="3">
        <f>VLOOKUP(A123,comp!A:F,5,FALSE)</f>
        <v>7.0653552405377216</v>
      </c>
      <c r="V123" s="3">
        <f>VLOOKUP(A123,comp!A:F,6,FALSE)</f>
        <v>0.83138404306287528</v>
      </c>
      <c r="W123" s="3">
        <f>VLOOKUP(A123,ndvi_vegnativa!A:F,2,FALSE)</f>
        <v>0.72286592250445592</v>
      </c>
      <c r="X123" s="3">
        <f>VLOOKUP(A123,ndvi_cana!A:F,2,FALSE)</f>
        <v>0.46441529798097042</v>
      </c>
      <c r="Y123" s="3">
        <f>VLOOKUP(A123,fragmentos!A:F,2,FALSE)</f>
        <v>98.020595078359847</v>
      </c>
    </row>
    <row r="124" spans="1:25" x14ac:dyDescent="0.3">
      <c r="A124" s="3" t="s">
        <v>576</v>
      </c>
      <c r="B124" s="3" t="s">
        <v>17</v>
      </c>
      <c r="C124" s="4" t="s">
        <v>342</v>
      </c>
      <c r="D124" s="3" t="s">
        <v>108</v>
      </c>
      <c r="E124" s="5">
        <v>43325</v>
      </c>
      <c r="F124" s="6">
        <v>0.3611111111111111</v>
      </c>
      <c r="G124" s="3">
        <v>95</v>
      </c>
      <c r="H124" s="5">
        <v>43355</v>
      </c>
      <c r="I124" s="6">
        <v>0.3125</v>
      </c>
      <c r="J124" s="3">
        <v>83</v>
      </c>
      <c r="K124" s="3">
        <v>150</v>
      </c>
      <c r="L124" s="3" t="s">
        <v>123</v>
      </c>
      <c r="M124" s="3">
        <v>9</v>
      </c>
      <c r="N124" s="4" t="s">
        <v>577</v>
      </c>
      <c r="O124" s="4" t="s">
        <v>578</v>
      </c>
      <c r="P124" s="3" t="s">
        <v>579</v>
      </c>
      <c r="Q124" s="3" t="s">
        <v>580</v>
      </c>
      <c r="R124" s="3">
        <f>VLOOKUP(A124,comp!A:F,2,FALSE)</f>
        <v>25.277355409134429</v>
      </c>
      <c r="S124" s="3">
        <f>VLOOKUP(A124,comp!A:F,3,FALSE)</f>
        <v>10.381821253590131</v>
      </c>
      <c r="T124" s="3">
        <f>VLOOKUP(A124,comp!A:F,4,FALSE)</f>
        <v>26.13617165061666</v>
      </c>
      <c r="U124" s="3">
        <f>VLOOKUP(A124,comp!A:F,5,FALSE)</f>
        <v>36.565861350453339</v>
      </c>
      <c r="V124" s="3">
        <f>VLOOKUP(A124,comp!A:F,6,FALSE)</f>
        <v>0.34071070563721351</v>
      </c>
      <c r="W124" s="3">
        <f>VLOOKUP(A124,ndvi_vegnativa!A:F,2,FALSE)</f>
        <v>0.78930370361222102</v>
      </c>
      <c r="X124" s="3">
        <f>VLOOKUP(A124,ndvi_cana!A:F,2,FALSE)</f>
        <v>0.58174461262390642</v>
      </c>
      <c r="Y124" s="3">
        <f>VLOOKUP(A124,fragmentos!A:F,2,FALSE)</f>
        <v>100.1861492711345</v>
      </c>
    </row>
    <row r="125" spans="1:25" x14ac:dyDescent="0.3">
      <c r="A125" s="3" t="s">
        <v>576</v>
      </c>
      <c r="B125" s="3" t="s">
        <v>24</v>
      </c>
      <c r="C125" s="4" t="s">
        <v>61</v>
      </c>
      <c r="D125" s="3" t="s">
        <v>53</v>
      </c>
      <c r="E125" s="5">
        <v>43325</v>
      </c>
      <c r="F125" s="6">
        <v>0.40555555555555556</v>
      </c>
      <c r="G125" s="3">
        <v>95</v>
      </c>
      <c r="H125" s="5">
        <v>43355</v>
      </c>
      <c r="I125" s="6">
        <v>0.34652777777777777</v>
      </c>
      <c r="J125" s="3">
        <v>83</v>
      </c>
      <c r="K125" s="3">
        <v>238</v>
      </c>
      <c r="L125" s="3" t="s">
        <v>34</v>
      </c>
      <c r="M125" s="3">
        <v>6</v>
      </c>
      <c r="N125" s="4" t="s">
        <v>581</v>
      </c>
      <c r="O125" s="4" t="s">
        <v>582</v>
      </c>
      <c r="P125" s="3" t="s">
        <v>583</v>
      </c>
      <c r="Q125" s="3" t="s">
        <v>584</v>
      </c>
      <c r="R125" s="3">
        <f>VLOOKUP(A125,comp!A:F,2,FALSE)</f>
        <v>25.277355409134429</v>
      </c>
      <c r="S125" s="3">
        <f>VLOOKUP(A125,comp!A:F,3,FALSE)</f>
        <v>10.381821253590131</v>
      </c>
      <c r="T125" s="3">
        <f>VLOOKUP(A125,comp!A:F,4,FALSE)</f>
        <v>26.13617165061666</v>
      </c>
      <c r="U125" s="3">
        <f>VLOOKUP(A125,comp!A:F,5,FALSE)</f>
        <v>36.565861350453339</v>
      </c>
      <c r="V125" s="3">
        <f>VLOOKUP(A125,comp!A:F,6,FALSE)</f>
        <v>0.34071070563721351</v>
      </c>
      <c r="W125" s="3">
        <f>VLOOKUP(A125,ndvi_vegnativa!A:F,2,FALSE)</f>
        <v>0.78930370361222102</v>
      </c>
      <c r="X125" s="3">
        <f>VLOOKUP(A125,ndvi_cana!A:F,2,FALSE)</f>
        <v>0.58174461262390642</v>
      </c>
      <c r="Y125" s="3">
        <f>VLOOKUP(A125,fragmentos!A:F,2,FALSE)</f>
        <v>100.1861492711345</v>
      </c>
    </row>
    <row r="126" spans="1:25" x14ac:dyDescent="0.3">
      <c r="A126" s="3" t="s">
        <v>576</v>
      </c>
      <c r="B126" s="3" t="s">
        <v>31</v>
      </c>
      <c r="C126" s="4" t="s">
        <v>46</v>
      </c>
      <c r="D126" s="3" t="s">
        <v>95</v>
      </c>
      <c r="E126" s="5">
        <v>43325</v>
      </c>
      <c r="F126" s="6">
        <v>0.43333333333333335</v>
      </c>
      <c r="G126" s="3">
        <v>94</v>
      </c>
      <c r="H126" s="5">
        <v>43355</v>
      </c>
      <c r="I126" s="6">
        <v>0.3347222222222222</v>
      </c>
      <c r="J126" s="3">
        <v>87</v>
      </c>
      <c r="K126" s="3">
        <v>69</v>
      </c>
      <c r="L126" s="3" t="s">
        <v>34</v>
      </c>
      <c r="M126" s="3">
        <v>12</v>
      </c>
      <c r="N126" s="4" t="s">
        <v>585</v>
      </c>
      <c r="O126" s="4" t="s">
        <v>586</v>
      </c>
      <c r="P126" s="3" t="s">
        <v>587</v>
      </c>
      <c r="R126" s="3">
        <f>VLOOKUP(A126,comp!A:F,2,FALSE)</f>
        <v>25.277355409134429</v>
      </c>
      <c r="S126" s="3">
        <f>VLOOKUP(A126,comp!A:F,3,FALSE)</f>
        <v>10.381821253590131</v>
      </c>
      <c r="T126" s="3">
        <f>VLOOKUP(A126,comp!A:F,4,FALSE)</f>
        <v>26.13617165061666</v>
      </c>
      <c r="U126" s="3">
        <f>VLOOKUP(A126,comp!A:F,5,FALSE)</f>
        <v>36.565861350453339</v>
      </c>
      <c r="V126" s="3">
        <f>VLOOKUP(A126,comp!A:F,6,FALSE)</f>
        <v>0.34071070563721351</v>
      </c>
      <c r="W126" s="3">
        <f>VLOOKUP(A126,ndvi_vegnativa!A:F,2,FALSE)</f>
        <v>0.78930370361222102</v>
      </c>
      <c r="X126" s="3">
        <f>VLOOKUP(A126,ndvi_cana!A:F,2,FALSE)</f>
        <v>0.58174461262390642</v>
      </c>
      <c r="Y126" s="3">
        <f>VLOOKUP(A126,fragmentos!A:F,2,FALSE)</f>
        <v>100.1861492711345</v>
      </c>
    </row>
    <row r="127" spans="1:25" x14ac:dyDescent="0.3">
      <c r="A127" s="3" t="s">
        <v>599</v>
      </c>
      <c r="B127" s="3" t="s">
        <v>17</v>
      </c>
      <c r="C127" s="4" t="s">
        <v>419</v>
      </c>
      <c r="D127" s="3" t="s">
        <v>47</v>
      </c>
      <c r="E127" s="5">
        <v>43327</v>
      </c>
      <c r="F127" s="6">
        <v>0.4236111111111111</v>
      </c>
      <c r="G127" s="3">
        <v>95</v>
      </c>
      <c r="H127" s="5">
        <v>43355</v>
      </c>
      <c r="I127" s="6">
        <v>0.53263888888888888</v>
      </c>
      <c r="J127" s="3">
        <v>84</v>
      </c>
      <c r="K127" s="3">
        <v>219</v>
      </c>
      <c r="L127" s="3" t="s">
        <v>34</v>
      </c>
      <c r="M127" s="3">
        <v>8</v>
      </c>
      <c r="N127" s="4" t="s">
        <v>600</v>
      </c>
      <c r="O127" s="4" t="s">
        <v>601</v>
      </c>
      <c r="P127" s="3" t="s">
        <v>602</v>
      </c>
      <c r="Q127" s="3" t="s">
        <v>603</v>
      </c>
      <c r="R127" s="3">
        <f>VLOOKUP(A127,comp!A:F,2,FALSE)</f>
        <v>23.06130505893632</v>
      </c>
      <c r="S127" s="3">
        <f>VLOOKUP(A127,comp!A:F,3,FALSE)</f>
        <v>23.526591844791611</v>
      </c>
      <c r="T127" s="3">
        <f>VLOOKUP(A127,comp!A:F,4,FALSE)</f>
        <v>37.183463989622688</v>
      </c>
      <c r="U127" s="3">
        <f>VLOOKUP(A127,comp!A:F,5,FALSE)</f>
        <v>14.96249506514015</v>
      </c>
      <c r="V127" s="3">
        <f>VLOOKUP(A127,comp!A:F,6,FALSE)</f>
        <v>0.2622525520275224</v>
      </c>
      <c r="W127" s="3">
        <f>VLOOKUP(A127,ndvi_vegnativa!A:F,2,FALSE)</f>
        <v>0.8515617995240562</v>
      </c>
      <c r="X127" s="3">
        <f>VLOOKUP(A127,ndvi_cana!A:F,2,FALSE)</f>
        <v>0.51978623322869633</v>
      </c>
      <c r="Y127" s="3">
        <f>VLOOKUP(A127,fragmentos!A:F,2,FALSE)</f>
        <v>139.4155666898572</v>
      </c>
    </row>
    <row r="128" spans="1:25" x14ac:dyDescent="0.3">
      <c r="A128" s="3" t="s">
        <v>599</v>
      </c>
      <c r="B128" s="3" t="s">
        <v>24</v>
      </c>
      <c r="C128" s="4" t="s">
        <v>415</v>
      </c>
      <c r="D128" s="3" t="s">
        <v>26</v>
      </c>
      <c r="E128" s="5">
        <v>43327</v>
      </c>
      <c r="F128" s="6">
        <v>0.4777777777777778</v>
      </c>
      <c r="G128" s="3">
        <v>94</v>
      </c>
      <c r="H128" s="5">
        <v>43350</v>
      </c>
      <c r="I128" s="6">
        <v>0.48749999999999999</v>
      </c>
      <c r="J128" s="3">
        <v>79</v>
      </c>
      <c r="K128" s="3">
        <v>6045</v>
      </c>
      <c r="L128" s="3" t="s">
        <v>34</v>
      </c>
      <c r="M128" s="3">
        <v>6</v>
      </c>
      <c r="N128" s="4" t="s">
        <v>604</v>
      </c>
      <c r="O128" s="4" t="s">
        <v>605</v>
      </c>
      <c r="P128" s="3" t="s">
        <v>606</v>
      </c>
      <c r="Q128" s="3" t="s">
        <v>607</v>
      </c>
      <c r="R128" s="3">
        <f>VLOOKUP(A128,comp!A:F,2,FALSE)</f>
        <v>23.06130505893632</v>
      </c>
      <c r="S128" s="3">
        <f>VLOOKUP(A128,comp!A:F,3,FALSE)</f>
        <v>23.526591844791611</v>
      </c>
      <c r="T128" s="3">
        <f>VLOOKUP(A128,comp!A:F,4,FALSE)</f>
        <v>37.183463989622688</v>
      </c>
      <c r="U128" s="3">
        <f>VLOOKUP(A128,comp!A:F,5,FALSE)</f>
        <v>14.96249506514015</v>
      </c>
      <c r="V128" s="3">
        <f>VLOOKUP(A128,comp!A:F,6,FALSE)</f>
        <v>0.2622525520275224</v>
      </c>
      <c r="W128" s="3">
        <f>VLOOKUP(A128,ndvi_vegnativa!A:F,2,FALSE)</f>
        <v>0.8515617995240562</v>
      </c>
      <c r="X128" s="3">
        <f>VLOOKUP(A128,ndvi_cana!A:F,2,FALSE)</f>
        <v>0.51978623322869633</v>
      </c>
      <c r="Y128" s="3">
        <f>VLOOKUP(A128,fragmentos!A:F,2,FALSE)</f>
        <v>139.4155666898572</v>
      </c>
    </row>
    <row r="129" spans="1:25" x14ac:dyDescent="0.3">
      <c r="A129" s="3" t="s">
        <v>599</v>
      </c>
      <c r="B129" s="3" t="s">
        <v>31</v>
      </c>
      <c r="C129" s="4" t="s">
        <v>68</v>
      </c>
      <c r="D129" s="3" t="s">
        <v>229</v>
      </c>
      <c r="E129" s="5">
        <v>43327</v>
      </c>
      <c r="F129" s="6">
        <v>0.5229166666666667</v>
      </c>
      <c r="G129" s="3">
        <v>97</v>
      </c>
      <c r="H129" s="5">
        <v>43355</v>
      </c>
      <c r="I129" s="6">
        <v>0.54861111111111116</v>
      </c>
      <c r="J129" s="3">
        <v>86</v>
      </c>
      <c r="K129" s="3">
        <v>109</v>
      </c>
      <c r="L129" s="3" t="s">
        <v>608</v>
      </c>
      <c r="M129" s="3">
        <v>20</v>
      </c>
      <c r="N129" s="4" t="s">
        <v>609</v>
      </c>
      <c r="O129" s="4" t="s">
        <v>610</v>
      </c>
      <c r="P129" s="3" t="s">
        <v>611</v>
      </c>
      <c r="Q129" s="3" t="s">
        <v>79</v>
      </c>
      <c r="R129" s="3">
        <f>VLOOKUP(A129,comp!A:F,2,FALSE)</f>
        <v>23.06130505893632</v>
      </c>
      <c r="S129" s="3">
        <f>VLOOKUP(A129,comp!A:F,3,FALSE)</f>
        <v>23.526591844791611</v>
      </c>
      <c r="T129" s="3">
        <f>VLOOKUP(A129,comp!A:F,4,FALSE)</f>
        <v>37.183463989622688</v>
      </c>
      <c r="U129" s="3">
        <f>VLOOKUP(A129,comp!A:F,5,FALSE)</f>
        <v>14.96249506514015</v>
      </c>
      <c r="V129" s="3">
        <f>VLOOKUP(A129,comp!A:F,6,FALSE)</f>
        <v>0.2622525520275224</v>
      </c>
      <c r="W129" s="3">
        <f>VLOOKUP(A129,ndvi_vegnativa!A:F,2,FALSE)</f>
        <v>0.8515617995240562</v>
      </c>
      <c r="X129" s="3">
        <f>VLOOKUP(A129,ndvi_cana!A:F,2,FALSE)</f>
        <v>0.51978623322869633</v>
      </c>
      <c r="Y129" s="3">
        <f>VLOOKUP(A129,fragmentos!A:F,2,FALSE)</f>
        <v>139.4155666898572</v>
      </c>
    </row>
    <row r="130" spans="1:25" x14ac:dyDescent="0.3">
      <c r="A130" s="3" t="s">
        <v>558</v>
      </c>
      <c r="B130" s="3" t="s">
        <v>17</v>
      </c>
      <c r="C130" s="4" t="s">
        <v>415</v>
      </c>
      <c r="D130" s="3" t="s">
        <v>454</v>
      </c>
      <c r="E130" s="5">
        <v>43291</v>
      </c>
      <c r="F130" s="6">
        <v>0.45069444444444445</v>
      </c>
      <c r="G130" s="3">
        <v>99</v>
      </c>
      <c r="H130" s="5">
        <v>43326</v>
      </c>
      <c r="I130" s="6">
        <v>0.33333333333333331</v>
      </c>
      <c r="J130" s="3">
        <v>72</v>
      </c>
      <c r="K130" s="3">
        <v>144</v>
      </c>
      <c r="L130" s="3" t="s">
        <v>123</v>
      </c>
      <c r="M130" s="3">
        <v>15</v>
      </c>
      <c r="N130" s="4" t="s">
        <v>559</v>
      </c>
      <c r="O130" s="4" t="s">
        <v>560</v>
      </c>
      <c r="Q130" s="3" t="s">
        <v>410</v>
      </c>
      <c r="R130" s="3">
        <f>VLOOKUP(A130,comp!A:F,2,FALSE)</f>
        <v>34.214978569817283</v>
      </c>
      <c r="S130" s="3">
        <f>VLOOKUP(A130,comp!A:F,3,FALSE)</f>
        <v>17.733476201218139</v>
      </c>
      <c r="T130" s="3">
        <f>VLOOKUP(A130,comp!A:F,4,FALSE)</f>
        <v>38.867584028874347</v>
      </c>
      <c r="U130" s="3">
        <f>VLOOKUP(A130,comp!A:F,5,FALSE)</f>
        <v>4.9458605910218809</v>
      </c>
      <c r="V130" s="3">
        <f>VLOOKUP(A130,comp!A:F,6,FALSE)</f>
        <v>0.33555154522896452</v>
      </c>
      <c r="W130" s="3">
        <f>VLOOKUP(A130,ndvi_vegnativa!A:F,2,FALSE)</f>
        <v>0.79062896781238889</v>
      </c>
      <c r="X130" s="3">
        <f>VLOOKUP(A130,ndvi_cana!A:F,2,FALSE)</f>
        <v>0.61220510718375776</v>
      </c>
      <c r="Y130" s="3">
        <f>VLOOKUP(A130,fragmentos!A:F,2,FALSE)</f>
        <v>94.485894933884126</v>
      </c>
    </row>
    <row r="131" spans="1:25" x14ac:dyDescent="0.3">
      <c r="A131" s="3" t="s">
        <v>558</v>
      </c>
      <c r="B131" s="3" t="s">
        <v>24</v>
      </c>
      <c r="C131" s="4" t="s">
        <v>52</v>
      </c>
      <c r="D131" s="3" t="s">
        <v>159</v>
      </c>
      <c r="E131" s="5">
        <v>43291</v>
      </c>
      <c r="F131" s="6">
        <v>0.49305555555555558</v>
      </c>
      <c r="G131" s="3">
        <v>94</v>
      </c>
      <c r="H131" s="5">
        <v>43326</v>
      </c>
      <c r="I131" s="6">
        <v>0.4</v>
      </c>
      <c r="J131" s="3">
        <v>74</v>
      </c>
      <c r="K131" s="3">
        <v>269</v>
      </c>
      <c r="L131" s="3" t="s">
        <v>123</v>
      </c>
      <c r="M131" s="3">
        <v>13.5</v>
      </c>
      <c r="N131" s="4" t="s">
        <v>561</v>
      </c>
      <c r="O131" s="4" t="s">
        <v>562</v>
      </c>
      <c r="P131" s="3" t="s">
        <v>563</v>
      </c>
      <c r="R131" s="3">
        <f>VLOOKUP(A131,comp!A:F,2,FALSE)</f>
        <v>34.214978569817283</v>
      </c>
      <c r="S131" s="3">
        <f>VLOOKUP(A131,comp!A:F,3,FALSE)</f>
        <v>17.733476201218139</v>
      </c>
      <c r="T131" s="3">
        <f>VLOOKUP(A131,comp!A:F,4,FALSE)</f>
        <v>38.867584028874347</v>
      </c>
      <c r="U131" s="3">
        <f>VLOOKUP(A131,comp!A:F,5,FALSE)</f>
        <v>4.9458605910218809</v>
      </c>
      <c r="V131" s="3">
        <f>VLOOKUP(A131,comp!A:F,6,FALSE)</f>
        <v>0.33555154522896452</v>
      </c>
      <c r="W131" s="3">
        <f>VLOOKUP(A131,ndvi_vegnativa!A:F,2,FALSE)</f>
        <v>0.79062896781238889</v>
      </c>
      <c r="X131" s="3">
        <f>VLOOKUP(A131,ndvi_cana!A:F,2,FALSE)</f>
        <v>0.61220510718375776</v>
      </c>
      <c r="Y131" s="3">
        <f>VLOOKUP(A131,fragmentos!A:F,2,FALSE)</f>
        <v>94.485894933884126</v>
      </c>
    </row>
    <row r="132" spans="1:25" x14ac:dyDescent="0.3">
      <c r="A132" s="3" t="s">
        <v>558</v>
      </c>
      <c r="B132" s="3" t="s">
        <v>31</v>
      </c>
      <c r="C132" s="4" t="s">
        <v>419</v>
      </c>
      <c r="D132" s="3" t="s">
        <v>122</v>
      </c>
      <c r="E132" s="5">
        <v>43291</v>
      </c>
      <c r="F132" s="6">
        <v>0.5708333333333333</v>
      </c>
      <c r="G132" s="3">
        <v>97</v>
      </c>
      <c r="H132" s="5">
        <v>43326</v>
      </c>
      <c r="I132" s="6">
        <v>0.35416666666666669</v>
      </c>
      <c r="J132" s="3">
        <v>81</v>
      </c>
      <c r="K132" s="3">
        <v>53</v>
      </c>
      <c r="L132" s="3" t="s">
        <v>123</v>
      </c>
      <c r="M132" s="3">
        <v>15</v>
      </c>
      <c r="N132" s="4" t="s">
        <v>564</v>
      </c>
      <c r="O132" s="4" t="s">
        <v>565</v>
      </c>
      <c r="R132" s="3">
        <f>VLOOKUP(A132,comp!A:F,2,FALSE)</f>
        <v>34.214978569817283</v>
      </c>
      <c r="S132" s="3">
        <f>VLOOKUP(A132,comp!A:F,3,FALSE)</f>
        <v>17.733476201218139</v>
      </c>
      <c r="T132" s="3">
        <f>VLOOKUP(A132,comp!A:F,4,FALSE)</f>
        <v>38.867584028874347</v>
      </c>
      <c r="U132" s="3">
        <f>VLOOKUP(A132,comp!A:F,5,FALSE)</f>
        <v>4.9458605910218809</v>
      </c>
      <c r="V132" s="3">
        <f>VLOOKUP(A132,comp!A:F,6,FALSE)</f>
        <v>0.33555154522896452</v>
      </c>
      <c r="W132" s="3">
        <f>VLOOKUP(A132,ndvi_vegnativa!A:F,2,FALSE)</f>
        <v>0.79062896781238889</v>
      </c>
      <c r="X132" s="3">
        <f>VLOOKUP(A132,ndvi_cana!A:F,2,FALSE)</f>
        <v>0.61220510718375776</v>
      </c>
      <c r="Y132" s="3">
        <f>VLOOKUP(A132,fragmentos!A:F,2,FALSE)</f>
        <v>94.485894933884126</v>
      </c>
    </row>
    <row r="133" spans="1:25" x14ac:dyDescent="0.3">
      <c r="A133" s="3" t="s">
        <v>316</v>
      </c>
      <c r="B133" s="3" t="s">
        <v>17</v>
      </c>
      <c r="C133" s="4" t="s">
        <v>40</v>
      </c>
      <c r="D133" s="3" t="s">
        <v>33</v>
      </c>
      <c r="E133" s="5">
        <v>43007</v>
      </c>
      <c r="F133" s="6">
        <v>0.45208333333333334</v>
      </c>
      <c r="G133" s="3">
        <v>94</v>
      </c>
      <c r="H133" s="5">
        <v>43047</v>
      </c>
      <c r="I133" s="6">
        <v>0.38194444444444442</v>
      </c>
      <c r="J133" s="3">
        <v>81</v>
      </c>
      <c r="K133" s="3">
        <v>243</v>
      </c>
      <c r="L133" s="3" t="s">
        <v>123</v>
      </c>
      <c r="M133" s="3">
        <v>15</v>
      </c>
      <c r="N133" s="4" t="s">
        <v>317</v>
      </c>
      <c r="O133" s="4" t="s">
        <v>318</v>
      </c>
      <c r="P133" s="3" t="s">
        <v>319</v>
      </c>
      <c r="Q133" s="3" t="s">
        <v>313</v>
      </c>
      <c r="R133" s="3">
        <f>VLOOKUP(A133,comp!A:F,2,FALSE)</f>
        <v>20.066484491647181</v>
      </c>
      <c r="S133" s="3">
        <f>VLOOKUP(A133,comp!A:F,3,FALSE)</f>
        <v>53.207313294081203</v>
      </c>
      <c r="T133" s="3">
        <f>VLOOKUP(A133,comp!A:F,4,FALSE)</f>
        <v>11.023466771839869</v>
      </c>
      <c r="U133" s="3">
        <f>VLOOKUP(A133,comp!A:F,5,FALSE)</f>
        <v>0.77189621658168295</v>
      </c>
      <c r="V133" s="3">
        <f>VLOOKUP(A133,comp!A:F,6,FALSE)</f>
        <v>10.22903343944559</v>
      </c>
      <c r="W133" s="3">
        <f>VLOOKUP(A133,ndvi_vegnativa!A:F,2,FALSE)</f>
        <v>0.71376721684863609</v>
      </c>
      <c r="X133" s="3">
        <f>VLOOKUP(A133,ndvi_cana!A:F,2,FALSE)</f>
        <v>0.5548816509198945</v>
      </c>
      <c r="Y133" s="3">
        <f>VLOOKUP(A133,fragmentos!A:F,2,FALSE)</f>
        <v>103.0548550533193</v>
      </c>
    </row>
    <row r="134" spans="1:25" x14ac:dyDescent="0.3">
      <c r="A134" s="3" t="s">
        <v>316</v>
      </c>
      <c r="B134" s="3" t="s">
        <v>24</v>
      </c>
      <c r="C134" s="4" t="s">
        <v>46</v>
      </c>
      <c r="D134" s="3" t="s">
        <v>62</v>
      </c>
      <c r="E134" s="5">
        <v>43007</v>
      </c>
      <c r="F134" s="6">
        <v>0.56736111111111109</v>
      </c>
      <c r="G134" s="3">
        <v>98</v>
      </c>
      <c r="H134" s="5">
        <v>43047</v>
      </c>
      <c r="I134" s="6">
        <v>0.40138888888888891</v>
      </c>
      <c r="J134" s="3">
        <v>85</v>
      </c>
      <c r="K134" s="3">
        <v>340</v>
      </c>
      <c r="L134" s="3" t="s">
        <v>123</v>
      </c>
      <c r="M134" s="3">
        <v>9</v>
      </c>
      <c r="N134" s="4" t="s">
        <v>320</v>
      </c>
      <c r="O134" s="4" t="s">
        <v>321</v>
      </c>
      <c r="P134" s="3" t="s">
        <v>322</v>
      </c>
      <c r="R134" s="3">
        <f>VLOOKUP(A134,comp!A:F,2,FALSE)</f>
        <v>20.066484491647181</v>
      </c>
      <c r="S134" s="3">
        <f>VLOOKUP(A134,comp!A:F,3,FALSE)</f>
        <v>53.207313294081203</v>
      </c>
      <c r="T134" s="3">
        <f>VLOOKUP(A134,comp!A:F,4,FALSE)</f>
        <v>11.023466771839869</v>
      </c>
      <c r="U134" s="3">
        <f>VLOOKUP(A134,comp!A:F,5,FALSE)</f>
        <v>0.77189621658168295</v>
      </c>
      <c r="V134" s="3">
        <f>VLOOKUP(A134,comp!A:F,6,FALSE)</f>
        <v>10.22903343944559</v>
      </c>
      <c r="W134" s="3">
        <f>VLOOKUP(A134,ndvi_vegnativa!A:F,2,FALSE)</f>
        <v>0.71376721684863609</v>
      </c>
      <c r="X134" s="3">
        <f>VLOOKUP(A134,ndvi_cana!A:F,2,FALSE)</f>
        <v>0.5548816509198945</v>
      </c>
      <c r="Y134" s="3">
        <f>VLOOKUP(A134,fragmentos!A:F,2,FALSE)</f>
        <v>103.0548550533193</v>
      </c>
    </row>
    <row r="135" spans="1:25" x14ac:dyDescent="0.3">
      <c r="A135" s="3" t="s">
        <v>316</v>
      </c>
      <c r="B135" s="3" t="s">
        <v>31</v>
      </c>
      <c r="C135" s="4" t="s">
        <v>52</v>
      </c>
      <c r="D135" s="3" t="s">
        <v>215</v>
      </c>
      <c r="E135" s="5">
        <v>43007</v>
      </c>
      <c r="F135" s="6">
        <v>0.60555555555555551</v>
      </c>
      <c r="G135" s="3">
        <v>91</v>
      </c>
      <c r="H135" s="5">
        <v>43047</v>
      </c>
      <c r="I135" s="6">
        <v>0.35347222222222224</v>
      </c>
      <c r="J135" s="3">
        <v>79</v>
      </c>
      <c r="K135" s="3">
        <v>182</v>
      </c>
      <c r="L135" s="3" t="s">
        <v>206</v>
      </c>
      <c r="M135" s="3">
        <v>11</v>
      </c>
      <c r="N135" s="4" t="s">
        <v>323</v>
      </c>
      <c r="O135" s="4" t="s">
        <v>324</v>
      </c>
      <c r="P135" s="3" t="s">
        <v>325</v>
      </c>
      <c r="Q135" s="3" t="s">
        <v>268</v>
      </c>
      <c r="R135" s="3">
        <f>VLOOKUP(A135,comp!A:F,2,FALSE)</f>
        <v>20.066484491647181</v>
      </c>
      <c r="S135" s="3">
        <f>VLOOKUP(A135,comp!A:F,3,FALSE)</f>
        <v>53.207313294081203</v>
      </c>
      <c r="T135" s="3">
        <f>VLOOKUP(A135,comp!A:F,4,FALSE)</f>
        <v>11.023466771839869</v>
      </c>
      <c r="U135" s="3">
        <f>VLOOKUP(A135,comp!A:F,5,FALSE)</f>
        <v>0.77189621658168295</v>
      </c>
      <c r="V135" s="3">
        <f>VLOOKUP(A135,comp!A:F,6,FALSE)</f>
        <v>10.22903343944559</v>
      </c>
      <c r="W135" s="3">
        <f>VLOOKUP(A135,ndvi_vegnativa!A:F,2,FALSE)</f>
        <v>0.71376721684863609</v>
      </c>
      <c r="X135" s="3">
        <f>VLOOKUP(A135,ndvi_cana!A:F,2,FALSE)</f>
        <v>0.5548816509198945</v>
      </c>
      <c r="Y135" s="3">
        <f>VLOOKUP(A135,fragmentos!A:F,2,FALSE)</f>
        <v>103.0548550533193</v>
      </c>
    </row>
    <row r="136" spans="1:25" x14ac:dyDescent="0.3">
      <c r="A136" s="3" t="s">
        <v>550</v>
      </c>
      <c r="B136" s="3" t="s">
        <v>17</v>
      </c>
      <c r="C136" s="4" t="s">
        <v>74</v>
      </c>
      <c r="D136" s="3" t="s">
        <v>138</v>
      </c>
      <c r="E136" s="5">
        <v>43290</v>
      </c>
      <c r="F136" s="6">
        <v>0.46597222222222223</v>
      </c>
      <c r="G136" s="3">
        <v>97</v>
      </c>
      <c r="H136" s="5">
        <v>43325</v>
      </c>
      <c r="I136" s="6">
        <v>0.625</v>
      </c>
      <c r="J136" s="3">
        <v>83</v>
      </c>
      <c r="K136" s="3">
        <v>237</v>
      </c>
      <c r="L136" s="3" t="s">
        <v>123</v>
      </c>
      <c r="M136" s="3">
        <v>15</v>
      </c>
      <c r="N136" s="4" t="s">
        <v>551</v>
      </c>
      <c r="O136" s="4" t="s">
        <v>552</v>
      </c>
      <c r="P136" s="3" t="s">
        <v>553</v>
      </c>
      <c r="R136" s="3">
        <f>VLOOKUP(A136,comp!A:F,2,FALSE)</f>
        <v>48.631507737407333</v>
      </c>
      <c r="S136" s="3">
        <f>VLOOKUP(A136,comp!A:F,3,FALSE)</f>
        <v>13.81176536911239</v>
      </c>
      <c r="T136" s="3">
        <f>VLOOKUP(A136,comp!A:F,4,FALSE)</f>
        <v>29.62482735293289</v>
      </c>
      <c r="U136" s="3">
        <f>VLOOKUP(A136,comp!A:F,5,FALSE)</f>
        <v>7.723313696197537</v>
      </c>
      <c r="V136" s="3">
        <f>VLOOKUP(A136,comp!A:F,6,FALSE)</f>
        <v>2.8187276263494661E-2</v>
      </c>
      <c r="W136" s="3">
        <f>VLOOKUP(A136,ndvi_vegnativa!A:F,2,FALSE)</f>
        <v>0.84602172953199728</v>
      </c>
      <c r="X136" s="3">
        <f>VLOOKUP(A136,ndvi_cana!A:F,2,FALSE)</f>
        <v>0.56619718818486009</v>
      </c>
      <c r="Y136" s="3">
        <f>VLOOKUP(A136,fragmentos!A:F,2,FALSE)</f>
        <v>118.2117117398374</v>
      </c>
    </row>
    <row r="137" spans="1:25" x14ac:dyDescent="0.3">
      <c r="A137" s="3" t="s">
        <v>550</v>
      </c>
      <c r="B137" s="3" t="s">
        <v>24</v>
      </c>
      <c r="C137" s="4" t="s">
        <v>94</v>
      </c>
      <c r="D137" s="3" t="s">
        <v>178</v>
      </c>
      <c r="E137" s="5">
        <v>43290</v>
      </c>
      <c r="F137" s="6">
        <v>0.60138888888888886</v>
      </c>
      <c r="G137" s="3">
        <v>95</v>
      </c>
      <c r="H137" s="5">
        <v>43325</v>
      </c>
      <c r="I137" s="6">
        <v>0.64930555555555558</v>
      </c>
      <c r="J137" s="3">
        <v>81</v>
      </c>
      <c r="K137" s="3">
        <v>162</v>
      </c>
      <c r="L137" s="3" t="s">
        <v>123</v>
      </c>
      <c r="M137" s="3">
        <v>15</v>
      </c>
      <c r="N137" s="4" t="s">
        <v>554</v>
      </c>
      <c r="O137" s="4" t="s">
        <v>555</v>
      </c>
      <c r="R137" s="3">
        <f>VLOOKUP(A137,comp!A:F,2,FALSE)</f>
        <v>48.631507737407333</v>
      </c>
      <c r="S137" s="3">
        <f>VLOOKUP(A137,comp!A:F,3,FALSE)</f>
        <v>13.81176536911239</v>
      </c>
      <c r="T137" s="3">
        <f>VLOOKUP(A137,comp!A:F,4,FALSE)</f>
        <v>29.62482735293289</v>
      </c>
      <c r="U137" s="3">
        <f>VLOOKUP(A137,comp!A:F,5,FALSE)</f>
        <v>7.723313696197537</v>
      </c>
      <c r="V137" s="3">
        <f>VLOOKUP(A137,comp!A:F,6,FALSE)</f>
        <v>2.8187276263494661E-2</v>
      </c>
      <c r="W137" s="3">
        <f>VLOOKUP(A137,ndvi_vegnativa!A:F,2,FALSE)</f>
        <v>0.84602172953199728</v>
      </c>
      <c r="X137" s="3">
        <f>VLOOKUP(A137,ndvi_cana!A:F,2,FALSE)</f>
        <v>0.56619718818486009</v>
      </c>
      <c r="Y137" s="3">
        <f>VLOOKUP(A137,fragmentos!A:F,2,FALSE)</f>
        <v>118.2117117398374</v>
      </c>
    </row>
    <row r="138" spans="1:25" x14ac:dyDescent="0.3">
      <c r="A138" s="3" t="s">
        <v>550</v>
      </c>
      <c r="B138" s="3" t="s">
        <v>31</v>
      </c>
      <c r="C138" s="4" t="s">
        <v>113</v>
      </c>
      <c r="D138" s="3" t="s">
        <v>173</v>
      </c>
      <c r="E138" s="5">
        <v>43290</v>
      </c>
      <c r="F138" s="6">
        <v>0.6381944444444444</v>
      </c>
      <c r="G138" s="3">
        <v>98</v>
      </c>
      <c r="H138" s="5">
        <v>43325</v>
      </c>
      <c r="I138" s="6">
        <v>0.63888888888888884</v>
      </c>
      <c r="J138" s="3">
        <v>84</v>
      </c>
      <c r="K138" s="3">
        <v>264</v>
      </c>
      <c r="L138" s="3" t="s">
        <v>123</v>
      </c>
      <c r="M138" s="3">
        <v>13.5</v>
      </c>
      <c r="N138" s="4" t="s">
        <v>556</v>
      </c>
      <c r="O138" s="4" t="s">
        <v>557</v>
      </c>
      <c r="R138" s="3">
        <f>VLOOKUP(A138,comp!A:F,2,FALSE)</f>
        <v>48.631507737407333</v>
      </c>
      <c r="S138" s="3">
        <f>VLOOKUP(A138,comp!A:F,3,FALSE)</f>
        <v>13.81176536911239</v>
      </c>
      <c r="T138" s="3">
        <f>VLOOKUP(A138,comp!A:F,4,FALSE)</f>
        <v>29.62482735293289</v>
      </c>
      <c r="U138" s="3">
        <f>VLOOKUP(A138,comp!A:F,5,FALSE)</f>
        <v>7.723313696197537</v>
      </c>
      <c r="V138" s="3">
        <f>VLOOKUP(A138,comp!A:F,6,FALSE)</f>
        <v>2.8187276263494661E-2</v>
      </c>
      <c r="W138" s="3">
        <f>VLOOKUP(A138,ndvi_vegnativa!A:F,2,FALSE)</f>
        <v>0.84602172953199728</v>
      </c>
      <c r="X138" s="3">
        <f>VLOOKUP(A138,ndvi_cana!A:F,2,FALSE)</f>
        <v>0.56619718818486009</v>
      </c>
      <c r="Y138" s="3">
        <f>VLOOKUP(A138,fragmentos!A:F,2,FALSE)</f>
        <v>118.2117117398374</v>
      </c>
    </row>
    <row r="139" spans="1:25" x14ac:dyDescent="0.3">
      <c r="A139" s="3" t="s">
        <v>530</v>
      </c>
      <c r="B139" s="3" t="s">
        <v>17</v>
      </c>
      <c r="C139" s="4" t="s">
        <v>256</v>
      </c>
      <c r="D139" s="3" t="s">
        <v>151</v>
      </c>
      <c r="E139" s="5">
        <v>43286</v>
      </c>
      <c r="F139" s="6">
        <v>0.60763888888888884</v>
      </c>
      <c r="G139" s="3">
        <v>92</v>
      </c>
      <c r="H139" s="5">
        <v>43320</v>
      </c>
      <c r="I139" s="6">
        <v>0.39930555555555558</v>
      </c>
      <c r="J139" s="3">
        <v>81</v>
      </c>
      <c r="K139" s="3">
        <v>339</v>
      </c>
      <c r="L139" s="3" t="s">
        <v>166</v>
      </c>
      <c r="M139" s="3">
        <v>15</v>
      </c>
      <c r="N139" s="4" t="s">
        <v>531</v>
      </c>
      <c r="O139" s="4" t="s">
        <v>532</v>
      </c>
      <c r="P139" s="3" t="s">
        <v>533</v>
      </c>
      <c r="R139" s="3">
        <f>VLOOKUP(A139,comp!A:F,2,FALSE)</f>
        <v>5.8011049723756907</v>
      </c>
      <c r="S139" s="3">
        <f>VLOOKUP(A139,comp!A:F,3,FALSE)</f>
        <v>29.360694554064722</v>
      </c>
      <c r="T139" s="3">
        <f>VLOOKUP(A139,comp!A:F,4,FALSE)</f>
        <v>64.578870222121992</v>
      </c>
      <c r="U139" s="3">
        <f>VLOOKUP(A139,comp!A:F,5,FALSE)</f>
        <v>0</v>
      </c>
      <c r="V139" s="3">
        <f>VLOOKUP(A139,comp!A:F,6,FALSE)</f>
        <v>2.8188070808433871E-2</v>
      </c>
      <c r="W139" s="3">
        <f>VLOOKUP(A139,ndvi_vegnativa!A:F,2,FALSE)</f>
        <v>0.80647886648847777</v>
      </c>
      <c r="X139" s="3">
        <f>VLOOKUP(A139,ndvi_cana!A:F,2,FALSE)</f>
        <v>0.57270279873348062</v>
      </c>
      <c r="Y139" s="3">
        <f>VLOOKUP(A139,fragmentos!A:F,2,FALSE)</f>
        <v>0</v>
      </c>
    </row>
    <row r="140" spans="1:25" s="16" customFormat="1" x14ac:dyDescent="0.3">
      <c r="A140" s="3" t="s">
        <v>530</v>
      </c>
      <c r="B140" s="3" t="s">
        <v>24</v>
      </c>
      <c r="C140" s="4" t="s">
        <v>107</v>
      </c>
      <c r="D140" s="3" t="s">
        <v>142</v>
      </c>
      <c r="E140" s="5">
        <v>43286</v>
      </c>
      <c r="F140" s="6">
        <v>0.65763888888888888</v>
      </c>
      <c r="G140" s="3">
        <v>95</v>
      </c>
      <c r="H140" s="5">
        <v>43320</v>
      </c>
      <c r="I140" s="6">
        <v>0.40972222222222221</v>
      </c>
      <c r="J140" s="3">
        <v>83</v>
      </c>
      <c r="K140" s="3">
        <v>215</v>
      </c>
      <c r="L140" s="3" t="s">
        <v>166</v>
      </c>
      <c r="M140" s="3">
        <v>15</v>
      </c>
      <c r="N140" s="4" t="s">
        <v>534</v>
      </c>
      <c r="O140" s="4" t="s">
        <v>535</v>
      </c>
      <c r="P140" s="3" t="s">
        <v>536</v>
      </c>
      <c r="Q140" s="3"/>
      <c r="R140" s="3">
        <f>VLOOKUP(A140,comp!A:F,2,FALSE)</f>
        <v>5.8011049723756907</v>
      </c>
      <c r="S140" s="3">
        <f>VLOOKUP(A140,comp!A:F,3,FALSE)</f>
        <v>29.360694554064722</v>
      </c>
      <c r="T140" s="3">
        <f>VLOOKUP(A140,comp!A:F,4,FALSE)</f>
        <v>64.578870222121992</v>
      </c>
      <c r="U140" s="3">
        <f>VLOOKUP(A140,comp!A:F,5,FALSE)</f>
        <v>0</v>
      </c>
      <c r="V140" s="3">
        <f>VLOOKUP(A140,comp!A:F,6,FALSE)</f>
        <v>2.8188070808433871E-2</v>
      </c>
      <c r="W140" s="3">
        <f>VLOOKUP(A140,ndvi_vegnativa!A:F,2,FALSE)</f>
        <v>0.80647886648847777</v>
      </c>
      <c r="X140" s="3">
        <f>VLOOKUP(A140,ndvi_cana!A:F,2,FALSE)</f>
        <v>0.57270279873348062</v>
      </c>
      <c r="Y140" s="3">
        <f>VLOOKUP(A140,fragmentos!A:F,2,FALSE)</f>
        <v>0</v>
      </c>
    </row>
    <row r="141" spans="1:25" s="16" customFormat="1" x14ac:dyDescent="0.3">
      <c r="A141" s="3" t="s">
        <v>530</v>
      </c>
      <c r="B141" s="3" t="s">
        <v>31</v>
      </c>
      <c r="C141" s="4" t="s">
        <v>68</v>
      </c>
      <c r="D141" s="3" t="s">
        <v>165</v>
      </c>
      <c r="E141" s="5">
        <v>43286</v>
      </c>
      <c r="F141" s="6">
        <v>0.67361111111111116</v>
      </c>
      <c r="G141" s="3">
        <v>97</v>
      </c>
      <c r="H141" s="5">
        <v>43320</v>
      </c>
      <c r="I141" s="6">
        <v>0.41458333333333336</v>
      </c>
      <c r="J141" s="3">
        <v>84</v>
      </c>
      <c r="K141" s="3">
        <v>239</v>
      </c>
      <c r="L141" s="3" t="s">
        <v>166</v>
      </c>
      <c r="M141" s="3">
        <v>13.5</v>
      </c>
      <c r="N141" s="4" t="s">
        <v>537</v>
      </c>
      <c r="O141" s="4" t="s">
        <v>538</v>
      </c>
      <c r="P141" s="3" t="s">
        <v>539</v>
      </c>
      <c r="Q141" s="3"/>
      <c r="R141" s="3">
        <f>VLOOKUP(A141,comp!A:F,2,FALSE)</f>
        <v>5.8011049723756907</v>
      </c>
      <c r="S141" s="3">
        <f>VLOOKUP(A141,comp!A:F,3,FALSE)</f>
        <v>29.360694554064722</v>
      </c>
      <c r="T141" s="3">
        <f>VLOOKUP(A141,comp!A:F,4,FALSE)</f>
        <v>64.578870222121992</v>
      </c>
      <c r="U141" s="3">
        <f>VLOOKUP(A141,comp!A:F,5,FALSE)</f>
        <v>0</v>
      </c>
      <c r="V141" s="3">
        <f>VLOOKUP(A141,comp!A:F,6,FALSE)</f>
        <v>2.8188070808433871E-2</v>
      </c>
      <c r="W141" s="3">
        <f>VLOOKUP(A141,ndvi_vegnativa!A:F,2,FALSE)</f>
        <v>0.80647886648847777</v>
      </c>
      <c r="X141" s="3">
        <f>VLOOKUP(A141,ndvi_cana!A:F,2,FALSE)</f>
        <v>0.57270279873348062</v>
      </c>
      <c r="Y141" s="3">
        <f>VLOOKUP(A141,fragmentos!A:F,2,FALSE)</f>
        <v>0</v>
      </c>
    </row>
    <row r="142" spans="1:25" s="16" customFormat="1" x14ac:dyDescent="0.3">
      <c r="A142" s="3" t="s">
        <v>326</v>
      </c>
      <c r="B142" s="3" t="s">
        <v>17</v>
      </c>
      <c r="C142" s="4" t="s">
        <v>81</v>
      </c>
      <c r="D142" s="3" t="s">
        <v>114</v>
      </c>
      <c r="E142" s="5">
        <v>43010</v>
      </c>
      <c r="F142" s="6">
        <v>0.6166666666666667</v>
      </c>
      <c r="G142" s="3">
        <v>85</v>
      </c>
      <c r="H142" s="5">
        <v>43046</v>
      </c>
      <c r="I142" s="6">
        <v>0.57777777777777772</v>
      </c>
      <c r="J142" s="3">
        <v>0</v>
      </c>
      <c r="K142" s="3">
        <v>370</v>
      </c>
      <c r="L142" s="3" t="s">
        <v>123</v>
      </c>
      <c r="M142" s="3">
        <v>15</v>
      </c>
      <c r="N142" s="4" t="s">
        <v>327</v>
      </c>
      <c r="O142" s="4" t="s">
        <v>328</v>
      </c>
      <c r="P142" s="3" t="s">
        <v>329</v>
      </c>
      <c r="Q142" s="3" t="s">
        <v>268</v>
      </c>
      <c r="R142" s="3">
        <f>VLOOKUP(A142,comp!A:F,2,FALSE)</f>
        <v>22.80207394048692</v>
      </c>
      <c r="S142" s="3">
        <f>VLOOKUP(A142,comp!A:F,3,FALSE)</f>
        <v>36.347497745716858</v>
      </c>
      <c r="T142" s="3">
        <f>VLOOKUP(A142,comp!A:F,4,FALSE)</f>
        <v>22.261045987376011</v>
      </c>
      <c r="U142" s="3">
        <f>VLOOKUP(A142,comp!A:F,5,FALSE)</f>
        <v>2.366997294860234</v>
      </c>
      <c r="V142" s="3">
        <f>VLOOKUP(A142,comp!A:F,6,FALSE)</f>
        <v>14.02727682596934</v>
      </c>
      <c r="W142" s="3">
        <f>VLOOKUP(A142,ndvi_vegnativa!A:F,2,FALSE)</f>
        <v>0.7802635974563733</v>
      </c>
      <c r="X142" s="3">
        <f>VLOOKUP(A142,ndvi_cana!A:F,2,FALSE)</f>
        <v>0.62992491166592479</v>
      </c>
      <c r="Y142" s="3">
        <f>VLOOKUP(A142,fragmentos!A:F,2,FALSE)</f>
        <v>177.41681570758769</v>
      </c>
    </row>
    <row r="143" spans="1:25" x14ac:dyDescent="0.3">
      <c r="A143" s="3" t="s">
        <v>326</v>
      </c>
      <c r="B143" s="3" t="s">
        <v>24</v>
      </c>
      <c r="C143" s="4" t="s">
        <v>94</v>
      </c>
      <c r="D143" s="3" t="s">
        <v>82</v>
      </c>
      <c r="E143" s="5">
        <v>43010</v>
      </c>
      <c r="F143" s="6">
        <v>0.67569444444444449</v>
      </c>
      <c r="G143" s="3">
        <v>95</v>
      </c>
      <c r="H143" s="5">
        <v>43046</v>
      </c>
      <c r="I143" s="6">
        <v>0.59513888888888888</v>
      </c>
      <c r="J143" s="3">
        <v>81</v>
      </c>
      <c r="K143" s="3">
        <v>217</v>
      </c>
      <c r="L143" s="3" t="s">
        <v>123</v>
      </c>
      <c r="M143" s="3">
        <v>20</v>
      </c>
      <c r="N143" s="4" t="s">
        <v>330</v>
      </c>
      <c r="O143" s="4" t="s">
        <v>331</v>
      </c>
      <c r="P143" s="3" t="s">
        <v>332</v>
      </c>
      <c r="Q143" s="3" t="s">
        <v>333</v>
      </c>
      <c r="R143" s="3">
        <f>VLOOKUP(A143,comp!A:F,2,FALSE)</f>
        <v>22.80207394048692</v>
      </c>
      <c r="S143" s="3">
        <f>VLOOKUP(A143,comp!A:F,3,FALSE)</f>
        <v>36.347497745716858</v>
      </c>
      <c r="T143" s="3">
        <f>VLOOKUP(A143,comp!A:F,4,FALSE)</f>
        <v>22.261045987376011</v>
      </c>
      <c r="U143" s="3">
        <f>VLOOKUP(A143,comp!A:F,5,FALSE)</f>
        <v>2.366997294860234</v>
      </c>
      <c r="V143" s="3">
        <f>VLOOKUP(A143,comp!A:F,6,FALSE)</f>
        <v>14.02727682596934</v>
      </c>
      <c r="W143" s="3">
        <f>VLOOKUP(A143,ndvi_vegnativa!A:F,2,FALSE)</f>
        <v>0.7802635974563733</v>
      </c>
      <c r="X143" s="3">
        <f>VLOOKUP(A143,ndvi_cana!A:F,2,FALSE)</f>
        <v>0.62992491166592479</v>
      </c>
      <c r="Y143" s="3">
        <f>VLOOKUP(A143,fragmentos!A:F,2,FALSE)</f>
        <v>177.41681570758769</v>
      </c>
    </row>
    <row r="144" spans="1:25" x14ac:dyDescent="0.3">
      <c r="A144" s="9" t="s">
        <v>326</v>
      </c>
      <c r="B144" s="9" t="s">
        <v>31</v>
      </c>
      <c r="C144" s="10" t="s">
        <v>88</v>
      </c>
      <c r="D144" s="9" t="s">
        <v>229</v>
      </c>
      <c r="E144" s="11">
        <v>43010</v>
      </c>
      <c r="F144" s="12">
        <v>0.70416666666666672</v>
      </c>
      <c r="G144" s="9">
        <v>95</v>
      </c>
      <c r="H144" s="11">
        <v>43046</v>
      </c>
      <c r="I144" s="12">
        <v>0.67708333333333337</v>
      </c>
      <c r="J144" s="9" t="s">
        <v>163</v>
      </c>
      <c r="K144" s="9">
        <v>66</v>
      </c>
      <c r="L144" s="9" t="s">
        <v>123</v>
      </c>
      <c r="M144" s="9">
        <v>20</v>
      </c>
      <c r="N144" s="10" t="s">
        <v>334</v>
      </c>
      <c r="O144" s="10" t="s">
        <v>335</v>
      </c>
      <c r="P144" s="9" t="s">
        <v>336</v>
      </c>
      <c r="Q144" s="9"/>
      <c r="R144" s="3">
        <f>VLOOKUP(A144,comp!A:F,2,FALSE)</f>
        <v>22.80207394048692</v>
      </c>
      <c r="S144" s="3">
        <f>VLOOKUP(A144,comp!A:F,3,FALSE)</f>
        <v>36.347497745716858</v>
      </c>
      <c r="T144" s="3">
        <f>VLOOKUP(A144,comp!A:F,4,FALSE)</f>
        <v>22.261045987376011</v>
      </c>
      <c r="U144" s="3">
        <f>VLOOKUP(A144,comp!A:F,5,FALSE)</f>
        <v>2.366997294860234</v>
      </c>
      <c r="V144" s="3">
        <f>VLOOKUP(A144,comp!A:F,6,FALSE)</f>
        <v>14.02727682596934</v>
      </c>
      <c r="W144" s="3">
        <f>VLOOKUP(A144,ndvi_vegnativa!A:F,2,FALSE)</f>
        <v>0.7802635974563733</v>
      </c>
      <c r="X144" s="3">
        <f>VLOOKUP(A144,ndvi_cana!A:F,2,FALSE)</f>
        <v>0.62992491166592479</v>
      </c>
      <c r="Y144" s="3">
        <f>VLOOKUP(A144,fragmentos!A:F,2,FALSE)</f>
        <v>177.41681570758769</v>
      </c>
    </row>
    <row r="145" spans="1:25" x14ac:dyDescent="0.3">
      <c r="A145" s="3" t="s">
        <v>566</v>
      </c>
      <c r="B145" s="3" t="s">
        <v>17</v>
      </c>
      <c r="C145" s="4" t="s">
        <v>228</v>
      </c>
      <c r="D145" s="3" t="s">
        <v>237</v>
      </c>
      <c r="E145" s="5">
        <v>43322</v>
      </c>
      <c r="F145" s="6">
        <v>0.38541666666666669</v>
      </c>
      <c r="G145" s="3">
        <v>97</v>
      </c>
      <c r="H145" s="5">
        <v>43353</v>
      </c>
      <c r="I145" s="6">
        <v>0.3527777777777778</v>
      </c>
      <c r="J145" s="3">
        <v>87</v>
      </c>
      <c r="K145" s="3">
        <v>170</v>
      </c>
      <c r="L145" s="3" t="s">
        <v>83</v>
      </c>
      <c r="M145" s="3">
        <v>8</v>
      </c>
      <c r="N145" s="4" t="s">
        <v>567</v>
      </c>
      <c r="O145" s="4" t="s">
        <v>568</v>
      </c>
      <c r="P145" s="3" t="s">
        <v>569</v>
      </c>
      <c r="Q145" s="3" t="s">
        <v>410</v>
      </c>
      <c r="R145" s="3">
        <f>VLOOKUP(A145,comp!A:F,2,FALSE)</f>
        <v>13.5420776731864</v>
      </c>
      <c r="S145" s="3">
        <f>VLOOKUP(A145,comp!A:F,3,FALSE)</f>
        <v>38.746406628713153</v>
      </c>
      <c r="T145" s="3">
        <f>VLOOKUP(A145,comp!A:F,4,FALSE)</f>
        <v>44.323882531988048</v>
      </c>
      <c r="U145" s="3">
        <f>VLOOKUP(A145,comp!A:F,5,FALSE)</f>
        <v>2.804238768953272</v>
      </c>
      <c r="V145" s="3">
        <f>VLOOKUP(A145,comp!A:F,6,FALSE)</f>
        <v>0.52984611915901025</v>
      </c>
      <c r="W145" s="3">
        <f>VLOOKUP(A145,ndvi_vegnativa!A:F,2,FALSE)</f>
        <v>0.84103533547963338</v>
      </c>
      <c r="X145" s="3">
        <f>VLOOKUP(A145,ndvi_cana!A:F,2,FALSE)</f>
        <v>0.6593854294962973</v>
      </c>
      <c r="Y145" s="3">
        <f>VLOOKUP(A145,fragmentos!A:F,2,FALSE)</f>
        <v>116.04844292865511</v>
      </c>
    </row>
    <row r="146" spans="1:25" x14ac:dyDescent="0.3">
      <c r="A146" s="3" t="s">
        <v>566</v>
      </c>
      <c r="B146" s="3" t="s">
        <v>24</v>
      </c>
      <c r="C146" s="4" t="s">
        <v>256</v>
      </c>
      <c r="D146" s="3" t="s">
        <v>102</v>
      </c>
      <c r="E146" s="5">
        <v>43322</v>
      </c>
      <c r="F146" s="6">
        <v>0.53333333333333333</v>
      </c>
      <c r="G146" s="3">
        <v>95</v>
      </c>
      <c r="H146" s="5">
        <v>43353</v>
      </c>
      <c r="I146" s="6">
        <v>0.37638888888888888</v>
      </c>
      <c r="J146" s="3">
        <v>85</v>
      </c>
      <c r="K146" s="3">
        <v>152</v>
      </c>
      <c r="L146" s="3" t="s">
        <v>123</v>
      </c>
      <c r="M146" s="3">
        <v>11</v>
      </c>
      <c r="N146" s="4" t="s">
        <v>570</v>
      </c>
      <c r="O146" s="4" t="s">
        <v>571</v>
      </c>
      <c r="P146" s="3" t="s">
        <v>572</v>
      </c>
      <c r="Q146" s="3" t="s">
        <v>79</v>
      </c>
      <c r="R146" s="3">
        <f>VLOOKUP(A146,comp!A:F,2,FALSE)</f>
        <v>13.5420776731864</v>
      </c>
      <c r="S146" s="3">
        <f>VLOOKUP(A146,comp!A:F,3,FALSE)</f>
        <v>38.746406628713153</v>
      </c>
      <c r="T146" s="3">
        <f>VLOOKUP(A146,comp!A:F,4,FALSE)</f>
        <v>44.323882531988048</v>
      </c>
      <c r="U146" s="3">
        <f>VLOOKUP(A146,comp!A:F,5,FALSE)</f>
        <v>2.804238768953272</v>
      </c>
      <c r="V146" s="3">
        <f>VLOOKUP(A146,comp!A:F,6,FALSE)</f>
        <v>0.52984611915901025</v>
      </c>
      <c r="W146" s="3">
        <f>VLOOKUP(A146,ndvi_vegnativa!A:F,2,FALSE)</f>
        <v>0.84103533547963338</v>
      </c>
      <c r="X146" s="3">
        <f>VLOOKUP(A146,ndvi_cana!A:F,2,FALSE)</f>
        <v>0.6593854294962973</v>
      </c>
      <c r="Y146" s="3">
        <f>VLOOKUP(A146,fragmentos!A:F,2,FALSE)</f>
        <v>116.04844292865511</v>
      </c>
    </row>
    <row r="147" spans="1:25" x14ac:dyDescent="0.3">
      <c r="A147" s="3" t="s">
        <v>566</v>
      </c>
      <c r="B147" s="3" t="s">
        <v>31</v>
      </c>
      <c r="C147" s="4" t="s">
        <v>107</v>
      </c>
      <c r="D147" s="3" t="s">
        <v>366</v>
      </c>
      <c r="E147" s="5">
        <v>43322</v>
      </c>
      <c r="F147" s="6">
        <v>0.45694444444444443</v>
      </c>
      <c r="G147" s="3">
        <v>96</v>
      </c>
      <c r="H147" s="5">
        <v>43353</v>
      </c>
      <c r="I147" s="6">
        <v>0.36527777777777776</v>
      </c>
      <c r="J147" s="3">
        <v>84</v>
      </c>
      <c r="K147" s="3">
        <v>172</v>
      </c>
      <c r="L147" s="3" t="s">
        <v>83</v>
      </c>
      <c r="M147" s="3">
        <v>6</v>
      </c>
      <c r="N147" s="4" t="s">
        <v>573</v>
      </c>
      <c r="O147" s="4" t="s">
        <v>574</v>
      </c>
      <c r="P147" s="3" t="s">
        <v>575</v>
      </c>
      <c r="R147" s="3">
        <f>VLOOKUP(A147,comp!A:F,2,FALSE)</f>
        <v>13.5420776731864</v>
      </c>
      <c r="S147" s="3">
        <f>VLOOKUP(A147,comp!A:F,3,FALSE)</f>
        <v>38.746406628713153</v>
      </c>
      <c r="T147" s="3">
        <f>VLOOKUP(A147,comp!A:F,4,FALSE)</f>
        <v>44.323882531988048</v>
      </c>
      <c r="U147" s="3">
        <f>VLOOKUP(A147,comp!A:F,5,FALSE)</f>
        <v>2.804238768953272</v>
      </c>
      <c r="V147" s="3">
        <f>VLOOKUP(A147,comp!A:F,6,FALSE)</f>
        <v>0.52984611915901025</v>
      </c>
      <c r="W147" s="3">
        <f>VLOOKUP(A147,ndvi_vegnativa!A:F,2,FALSE)</f>
        <v>0.84103533547963338</v>
      </c>
      <c r="X147" s="3">
        <f>VLOOKUP(A147,ndvi_cana!A:F,2,FALSE)</f>
        <v>0.6593854294962973</v>
      </c>
      <c r="Y147" s="3">
        <f>VLOOKUP(A147,fragmentos!A:F,2,FALSE)</f>
        <v>116.04844292865511</v>
      </c>
    </row>
    <row r="148" spans="1:25" x14ac:dyDescent="0.3">
      <c r="A148" s="3" t="s">
        <v>381</v>
      </c>
      <c r="B148" s="3" t="s">
        <v>17</v>
      </c>
      <c r="C148" s="4" t="s">
        <v>25</v>
      </c>
      <c r="D148" s="3" t="s">
        <v>102</v>
      </c>
      <c r="E148" s="5">
        <v>43194</v>
      </c>
      <c r="F148" s="6">
        <v>0.40208333333333335</v>
      </c>
      <c r="G148" s="3">
        <v>99</v>
      </c>
      <c r="H148" s="5">
        <v>43222</v>
      </c>
      <c r="I148" s="6">
        <v>0.65486111111111112</v>
      </c>
      <c r="J148" s="3">
        <v>86</v>
      </c>
      <c r="K148" s="3">
        <v>82</v>
      </c>
      <c r="L148" s="3" t="s">
        <v>166</v>
      </c>
      <c r="M148" s="4" t="s">
        <v>147</v>
      </c>
      <c r="N148" s="4" t="s">
        <v>238</v>
      </c>
      <c r="O148" s="4" t="s">
        <v>382</v>
      </c>
      <c r="P148" s="3" t="s">
        <v>383</v>
      </c>
      <c r="R148" s="3">
        <f>VLOOKUP(A148,comp!A:F,2,FALSE)</f>
        <v>21.610730690111868</v>
      </c>
      <c r="S148" s="3">
        <f>VLOOKUP(A148,comp!A:F,3,FALSE)</f>
        <v>39.346803054639729</v>
      </c>
      <c r="T148" s="3">
        <f>VLOOKUP(A148,comp!A:F,4,FALSE)</f>
        <v>31.17761433764478</v>
      </c>
      <c r="U148" s="3">
        <f>VLOOKUP(A148,comp!A:F,5,FALSE)</f>
        <v>1.296249330740834</v>
      </c>
      <c r="V148" s="3">
        <f>VLOOKUP(A148,comp!A:F,6,FALSE)</f>
        <v>3.3899737932200531</v>
      </c>
      <c r="W148" s="3">
        <f>VLOOKUP(A148,ndvi_vegnativa!A:F,2,FALSE)</f>
        <v>0.79383722983941407</v>
      </c>
      <c r="X148" s="3">
        <f>VLOOKUP(A148,ndvi_cana!A:F,2,FALSE)</f>
        <v>0.64403422784910058</v>
      </c>
      <c r="Y148" s="3">
        <f>VLOOKUP(A148,fragmentos!A:F,2,FALSE)</f>
        <v>144.59065330247549</v>
      </c>
    </row>
    <row r="149" spans="1:25" x14ac:dyDescent="0.3">
      <c r="A149" s="3" t="s">
        <v>381</v>
      </c>
      <c r="B149" s="3" t="s">
        <v>24</v>
      </c>
      <c r="C149" s="4" t="s">
        <v>61</v>
      </c>
      <c r="D149" s="3" t="s">
        <v>237</v>
      </c>
      <c r="E149" s="5">
        <v>43194</v>
      </c>
      <c r="F149" s="6">
        <v>0.4375</v>
      </c>
      <c r="G149" s="3">
        <v>99</v>
      </c>
      <c r="H149" s="5">
        <v>43222</v>
      </c>
      <c r="I149" s="6">
        <v>0.67361111111111116</v>
      </c>
      <c r="J149" s="3">
        <v>87</v>
      </c>
      <c r="K149" s="3">
        <v>164</v>
      </c>
      <c r="L149" s="3" t="s">
        <v>166</v>
      </c>
      <c r="M149" s="4" t="s">
        <v>264</v>
      </c>
      <c r="N149" s="4" t="s">
        <v>384</v>
      </c>
      <c r="O149" s="4" t="s">
        <v>385</v>
      </c>
      <c r="P149" s="3" t="s">
        <v>386</v>
      </c>
      <c r="R149" s="3">
        <f>VLOOKUP(A149,comp!A:F,2,FALSE)</f>
        <v>21.610730690111868</v>
      </c>
      <c r="S149" s="3">
        <f>VLOOKUP(A149,comp!A:F,3,FALSE)</f>
        <v>39.346803054639729</v>
      </c>
      <c r="T149" s="3">
        <f>VLOOKUP(A149,comp!A:F,4,FALSE)</f>
        <v>31.17761433764478</v>
      </c>
      <c r="U149" s="3">
        <f>VLOOKUP(A149,comp!A:F,5,FALSE)</f>
        <v>1.296249330740834</v>
      </c>
      <c r="V149" s="3">
        <f>VLOOKUP(A149,comp!A:F,6,FALSE)</f>
        <v>3.3899737932200531</v>
      </c>
      <c r="W149" s="3">
        <f>VLOOKUP(A149,ndvi_vegnativa!A:F,2,FALSE)</f>
        <v>0.79383722983941407</v>
      </c>
      <c r="X149" s="3">
        <f>VLOOKUP(A149,ndvi_cana!A:F,2,FALSE)</f>
        <v>0.64403422784910058</v>
      </c>
      <c r="Y149" s="3">
        <f>VLOOKUP(A149,fragmentos!A:F,2,FALSE)</f>
        <v>144.59065330247549</v>
      </c>
    </row>
    <row r="150" spans="1:25" x14ac:dyDescent="0.3">
      <c r="A150" s="3" t="s">
        <v>381</v>
      </c>
      <c r="B150" s="3" t="s">
        <v>31</v>
      </c>
      <c r="C150" s="4" t="s">
        <v>107</v>
      </c>
      <c r="D150" s="3" t="s">
        <v>33</v>
      </c>
      <c r="E150" s="5">
        <v>43194</v>
      </c>
      <c r="F150" s="6">
        <v>0.51597222222222228</v>
      </c>
      <c r="G150" s="3">
        <v>99</v>
      </c>
      <c r="H150" s="5">
        <v>43222</v>
      </c>
      <c r="I150" s="6">
        <v>0.68055555555555558</v>
      </c>
      <c r="J150" s="3">
        <v>84</v>
      </c>
      <c r="K150" s="3">
        <v>110</v>
      </c>
      <c r="L150" s="3" t="s">
        <v>123</v>
      </c>
      <c r="M150" s="4" t="s">
        <v>28</v>
      </c>
      <c r="N150" s="4" t="s">
        <v>387</v>
      </c>
      <c r="O150" s="4" t="s">
        <v>388</v>
      </c>
      <c r="P150" s="3" t="s">
        <v>123</v>
      </c>
      <c r="R150" s="3">
        <f>VLOOKUP(A150,comp!A:F,2,FALSE)</f>
        <v>21.610730690111868</v>
      </c>
      <c r="S150" s="3">
        <f>VLOOKUP(A150,comp!A:F,3,FALSE)</f>
        <v>39.346803054639729</v>
      </c>
      <c r="T150" s="3">
        <f>VLOOKUP(A150,comp!A:F,4,FALSE)</f>
        <v>31.17761433764478</v>
      </c>
      <c r="U150" s="3">
        <f>VLOOKUP(A150,comp!A:F,5,FALSE)</f>
        <v>1.296249330740834</v>
      </c>
      <c r="V150" s="3">
        <f>VLOOKUP(A150,comp!A:F,6,FALSE)</f>
        <v>3.3899737932200531</v>
      </c>
      <c r="W150" s="3">
        <f>VLOOKUP(A150,ndvi_vegnativa!A:F,2,FALSE)</f>
        <v>0.79383722983941407</v>
      </c>
      <c r="X150" s="3">
        <f>VLOOKUP(A150,ndvi_cana!A:F,2,FALSE)</f>
        <v>0.64403422784910058</v>
      </c>
      <c r="Y150" s="3">
        <f>VLOOKUP(A150,fragmentos!A:F,2,FALSE)</f>
        <v>144.59065330247549</v>
      </c>
    </row>
    <row r="151" spans="1:25" x14ac:dyDescent="0.3">
      <c r="A151" s="3" t="s">
        <v>479</v>
      </c>
      <c r="B151" s="3" t="s">
        <v>17</v>
      </c>
      <c r="C151" s="4" t="s">
        <v>228</v>
      </c>
      <c r="D151" s="3" t="s">
        <v>89</v>
      </c>
      <c r="E151" s="5">
        <v>43258</v>
      </c>
      <c r="F151" s="6">
        <v>0.46250000000000002</v>
      </c>
      <c r="G151" s="3">
        <v>98</v>
      </c>
      <c r="H151" s="5">
        <v>43285</v>
      </c>
      <c r="I151" s="6">
        <v>0.44027777777777777</v>
      </c>
      <c r="J151" s="3">
        <v>87</v>
      </c>
      <c r="K151" s="3">
        <v>117</v>
      </c>
      <c r="L151" s="3" t="s">
        <v>123</v>
      </c>
      <c r="M151" s="3">
        <v>15</v>
      </c>
      <c r="N151" s="4" t="s">
        <v>480</v>
      </c>
      <c r="O151" s="4" t="s">
        <v>481</v>
      </c>
      <c r="P151" s="3" t="s">
        <v>482</v>
      </c>
      <c r="Q151" s="3" t="s">
        <v>483</v>
      </c>
      <c r="R151" s="3">
        <f>VLOOKUP(A151,comp!A:F,2,FALSE)</f>
        <v>30.361873626063922</v>
      </c>
      <c r="S151" s="3">
        <f>VLOOKUP(A151,comp!A:F,3,FALSE)</f>
        <v>22.51564173383688</v>
      </c>
      <c r="T151" s="3">
        <f>VLOOKUP(A151,comp!A:F,4,FALSE)</f>
        <v>43.79121808240798</v>
      </c>
      <c r="U151" s="3">
        <f>VLOOKUP(A151,comp!A:F,5,FALSE)</f>
        <v>2.8634237077955018</v>
      </c>
      <c r="V151" s="3">
        <f>VLOOKUP(A151,comp!A:F,6,FALSE)</f>
        <v>0</v>
      </c>
      <c r="W151" s="3">
        <f>VLOOKUP(A151,ndvi_vegnativa!A:F,2,FALSE)</f>
        <v>0.82365408742626323</v>
      </c>
      <c r="X151" s="3">
        <f>VLOOKUP(A151,ndvi_cana!A:F,2,FALSE)</f>
        <v>0.57757104154932215</v>
      </c>
      <c r="Y151" s="3">
        <f>VLOOKUP(A151,fragmentos!A:F,2,FALSE)</f>
        <v>96.409353900903042</v>
      </c>
    </row>
    <row r="152" spans="1:25" x14ac:dyDescent="0.3">
      <c r="A152" s="3" t="s">
        <v>479</v>
      </c>
      <c r="B152" s="3" t="s">
        <v>24</v>
      </c>
      <c r="C152" s="4" t="s">
        <v>40</v>
      </c>
      <c r="D152" s="3" t="s">
        <v>26</v>
      </c>
      <c r="E152" s="5">
        <v>43258</v>
      </c>
      <c r="F152" s="6">
        <v>0.50555555555555554</v>
      </c>
      <c r="G152" s="3">
        <v>97</v>
      </c>
      <c r="H152" s="5">
        <v>43285</v>
      </c>
      <c r="I152" s="6">
        <v>0.4597222222222222</v>
      </c>
      <c r="J152" s="3">
        <v>84</v>
      </c>
      <c r="K152" s="3">
        <v>225</v>
      </c>
      <c r="L152" s="3" t="s">
        <v>123</v>
      </c>
      <c r="M152" s="3">
        <v>18</v>
      </c>
      <c r="N152" s="4" t="s">
        <v>484</v>
      </c>
      <c r="O152" s="4" t="s">
        <v>485</v>
      </c>
      <c r="P152" s="3" t="s">
        <v>482</v>
      </c>
      <c r="R152" s="3">
        <f>VLOOKUP(A152,comp!A:F,2,FALSE)</f>
        <v>30.361873626063922</v>
      </c>
      <c r="S152" s="3">
        <f>VLOOKUP(A152,comp!A:F,3,FALSE)</f>
        <v>22.51564173383688</v>
      </c>
      <c r="T152" s="3">
        <f>VLOOKUP(A152,comp!A:F,4,FALSE)</f>
        <v>43.79121808240798</v>
      </c>
      <c r="U152" s="3">
        <f>VLOOKUP(A152,comp!A:F,5,FALSE)</f>
        <v>2.8634237077955018</v>
      </c>
      <c r="V152" s="3">
        <f>VLOOKUP(A152,comp!A:F,6,FALSE)</f>
        <v>0</v>
      </c>
      <c r="W152" s="3">
        <f>VLOOKUP(A152,ndvi_vegnativa!A:F,2,FALSE)</f>
        <v>0.82365408742626323</v>
      </c>
      <c r="X152" s="3">
        <f>VLOOKUP(A152,ndvi_cana!A:F,2,FALSE)</f>
        <v>0.57757104154932215</v>
      </c>
      <c r="Y152" s="3">
        <f>VLOOKUP(A152,fragmentos!A:F,2,FALSE)</f>
        <v>96.409353900903042</v>
      </c>
    </row>
    <row r="153" spans="1:25" x14ac:dyDescent="0.3">
      <c r="A153" s="3" t="s">
        <v>479</v>
      </c>
      <c r="B153" s="3" t="s">
        <v>31</v>
      </c>
      <c r="C153" s="4" t="s">
        <v>256</v>
      </c>
      <c r="D153" s="3" t="s">
        <v>229</v>
      </c>
      <c r="E153" s="5">
        <v>43258</v>
      </c>
      <c r="F153" s="6">
        <v>0.64444444444444449</v>
      </c>
      <c r="G153" s="3">
        <v>95</v>
      </c>
      <c r="H153" s="5">
        <v>43285</v>
      </c>
      <c r="I153" s="6">
        <v>0.47430555555555554</v>
      </c>
      <c r="J153" s="3">
        <v>79</v>
      </c>
      <c r="K153" s="3">
        <v>401</v>
      </c>
      <c r="L153" s="3" t="s">
        <v>34</v>
      </c>
      <c r="M153" s="3">
        <v>10</v>
      </c>
      <c r="N153" s="4" t="s">
        <v>486</v>
      </c>
      <c r="O153" s="4" t="s">
        <v>487</v>
      </c>
      <c r="P153" s="3" t="s">
        <v>488</v>
      </c>
      <c r="Q153" s="3" t="s">
        <v>489</v>
      </c>
      <c r="R153" s="3">
        <f>VLOOKUP(A153,comp!A:F,2,FALSE)</f>
        <v>30.361873626063922</v>
      </c>
      <c r="S153" s="3">
        <f>VLOOKUP(A153,comp!A:F,3,FALSE)</f>
        <v>22.51564173383688</v>
      </c>
      <c r="T153" s="3">
        <f>VLOOKUP(A153,comp!A:F,4,FALSE)</f>
        <v>43.79121808240798</v>
      </c>
      <c r="U153" s="3">
        <f>VLOOKUP(A153,comp!A:F,5,FALSE)</f>
        <v>2.8634237077955018</v>
      </c>
      <c r="V153" s="3">
        <f>VLOOKUP(A153,comp!A:F,6,FALSE)</f>
        <v>0</v>
      </c>
      <c r="W153" s="3">
        <f>VLOOKUP(A153,ndvi_vegnativa!A:F,2,FALSE)</f>
        <v>0.82365408742626323</v>
      </c>
      <c r="X153" s="3">
        <f>VLOOKUP(A153,ndvi_cana!A:F,2,FALSE)</f>
        <v>0.57757104154932215</v>
      </c>
      <c r="Y153" s="3">
        <f>VLOOKUP(A153,fragmentos!A:F,2,FALSE)</f>
        <v>96.409353900903042</v>
      </c>
    </row>
    <row r="154" spans="1:25" x14ac:dyDescent="0.3">
      <c r="A154" s="3" t="s">
        <v>525</v>
      </c>
      <c r="B154" s="3" t="s">
        <v>17</v>
      </c>
      <c r="C154" s="4" t="s">
        <v>228</v>
      </c>
      <c r="D154" s="3" t="s">
        <v>146</v>
      </c>
      <c r="E154" s="5">
        <v>43286</v>
      </c>
      <c r="F154" s="6">
        <v>0.37361111111111112</v>
      </c>
      <c r="G154" s="3">
        <v>97</v>
      </c>
      <c r="H154" s="5">
        <v>43320</v>
      </c>
      <c r="I154" s="6">
        <v>0.34375</v>
      </c>
      <c r="J154" s="3">
        <v>84</v>
      </c>
      <c r="K154" s="3">
        <v>152</v>
      </c>
      <c r="L154" s="3" t="s">
        <v>83</v>
      </c>
      <c r="M154" s="3">
        <v>15</v>
      </c>
      <c r="N154" s="4" t="s">
        <v>526</v>
      </c>
      <c r="O154" s="4" t="s">
        <v>527</v>
      </c>
      <c r="P154" s="3" t="s">
        <v>528</v>
      </c>
      <c r="Q154" s="3" t="s">
        <v>529</v>
      </c>
      <c r="R154" s="3">
        <f>VLOOKUP(A154,comp!A:F,2,FALSE)</f>
        <v>6.9467155342542979</v>
      </c>
      <c r="S154" s="3">
        <f>VLOOKUP(A154,comp!A:F,3,FALSE)</f>
        <v>22.737524668734139</v>
      </c>
      <c r="T154" s="3">
        <f>VLOOKUP(A154,comp!A:F,4,FALSE)</f>
        <v>57.135607555680863</v>
      </c>
      <c r="U154" s="3">
        <f>VLOOKUP(A154,comp!A:F,5,FALSE)</f>
        <v>1.1220749929517899</v>
      </c>
      <c r="V154" s="3">
        <f>VLOOKUP(A154,comp!A:F,6,FALSE)</f>
        <v>9.3290104313504365</v>
      </c>
      <c r="W154" s="3">
        <f>VLOOKUP(A154,ndvi_vegnativa!A:F,2,FALSE)</f>
        <v>0.77383091299537521</v>
      </c>
      <c r="X154" s="3">
        <f>VLOOKUP(A154,ndvi_cana!A:F,2,FALSE)</f>
        <v>0.52292673105180143</v>
      </c>
      <c r="Y154" s="3">
        <f>VLOOKUP(A154,fragmentos!A:F,2,FALSE)</f>
        <v>70.864246172227453</v>
      </c>
    </row>
    <row r="155" spans="1:25" x14ac:dyDescent="0.3">
      <c r="A155" s="3" t="s">
        <v>501</v>
      </c>
      <c r="B155" s="3" t="s">
        <v>17</v>
      </c>
      <c r="C155" s="4" t="s">
        <v>113</v>
      </c>
      <c r="D155" s="3" t="s">
        <v>108</v>
      </c>
      <c r="E155" s="5">
        <v>43262</v>
      </c>
      <c r="F155" s="6">
        <v>0.4826388888888889</v>
      </c>
      <c r="G155" s="3">
        <v>96</v>
      </c>
      <c r="H155" s="5">
        <v>43290</v>
      </c>
      <c r="I155" s="6">
        <v>0.32916666666666666</v>
      </c>
      <c r="J155" s="3">
        <v>85</v>
      </c>
      <c r="K155" s="3">
        <v>131</v>
      </c>
      <c r="L155" s="3" t="s">
        <v>34</v>
      </c>
      <c r="M155" s="3">
        <v>8.5</v>
      </c>
      <c r="N155" s="4" t="s">
        <v>502</v>
      </c>
      <c r="O155" s="4" t="s">
        <v>503</v>
      </c>
      <c r="P155" s="3" t="s">
        <v>504</v>
      </c>
      <c r="R155" s="3">
        <f>VLOOKUP(A155,comp!A:F,2,FALSE)</f>
        <v>7.6591427846817144</v>
      </c>
      <c r="S155" s="3">
        <f>VLOOKUP(A155,comp!A:F,3,FALSE)</f>
        <v>23.583284019500098</v>
      </c>
      <c r="T155" s="3">
        <f>VLOOKUP(A155,comp!A:F,4,FALSE)</f>
        <v>54.467833291064323</v>
      </c>
      <c r="U155" s="3">
        <f>VLOOKUP(A155,comp!A:F,5,FALSE)</f>
        <v>0.50722799898554394</v>
      </c>
      <c r="V155" s="3">
        <f>VLOOKUP(A155,comp!A:F,6,FALSE)</f>
        <v>1.986642996026714</v>
      </c>
      <c r="W155" s="3">
        <f>VLOOKUP(A155,ndvi_vegnativa!A:F,2,FALSE)</f>
        <v>0.70446110832208486</v>
      </c>
      <c r="X155" s="3">
        <f>VLOOKUP(A155,ndvi_cana!A:F,2,FALSE)</f>
        <v>0.65076124912431266</v>
      </c>
      <c r="Y155" s="3">
        <f>VLOOKUP(A155,fragmentos!A:F,2,FALSE)</f>
        <v>127.9236729540861</v>
      </c>
    </row>
    <row r="156" spans="1:25" x14ac:dyDescent="0.3">
      <c r="A156" s="3" t="s">
        <v>501</v>
      </c>
      <c r="B156" s="3" t="s">
        <v>24</v>
      </c>
      <c r="C156" s="4" t="s">
        <v>94</v>
      </c>
      <c r="D156" s="3" t="s">
        <v>53</v>
      </c>
      <c r="E156" s="5">
        <v>43262</v>
      </c>
      <c r="F156" s="6">
        <v>0.56041666666666667</v>
      </c>
      <c r="G156" s="3">
        <v>95</v>
      </c>
      <c r="H156" s="5">
        <v>43290</v>
      </c>
      <c r="I156" s="6">
        <v>0.34027777777777779</v>
      </c>
      <c r="J156" s="3">
        <v>57</v>
      </c>
      <c r="K156" s="3">
        <v>214</v>
      </c>
      <c r="L156" s="3" t="s">
        <v>34</v>
      </c>
      <c r="M156" s="3">
        <v>13.5</v>
      </c>
      <c r="N156" s="4" t="s">
        <v>505</v>
      </c>
      <c r="O156" s="4" t="s">
        <v>506</v>
      </c>
      <c r="P156" s="3" t="s">
        <v>507</v>
      </c>
      <c r="Q156" s="3" t="s">
        <v>508</v>
      </c>
      <c r="R156" s="3">
        <f>VLOOKUP(A156,comp!A:F,2,FALSE)</f>
        <v>7.6591427846817144</v>
      </c>
      <c r="S156" s="3">
        <f>VLOOKUP(A156,comp!A:F,3,FALSE)</f>
        <v>23.583284019500098</v>
      </c>
      <c r="T156" s="3">
        <f>VLOOKUP(A156,comp!A:F,4,FALSE)</f>
        <v>54.467833291064323</v>
      </c>
      <c r="U156" s="3">
        <f>VLOOKUP(A156,comp!A:F,5,FALSE)</f>
        <v>0.50722799898554394</v>
      </c>
      <c r="V156" s="3">
        <f>VLOOKUP(A156,comp!A:F,6,FALSE)</f>
        <v>1.986642996026714</v>
      </c>
      <c r="W156" s="3">
        <f>VLOOKUP(A156,ndvi_vegnativa!A:F,2,FALSE)</f>
        <v>0.70446110832208486</v>
      </c>
      <c r="X156" s="3">
        <f>VLOOKUP(A156,ndvi_cana!A:F,2,FALSE)</f>
        <v>0.65076124912431266</v>
      </c>
      <c r="Y156" s="3">
        <f>VLOOKUP(A156,fragmentos!A:F,2,FALSE)</f>
        <v>127.9236729540861</v>
      </c>
    </row>
    <row r="157" spans="1:25" x14ac:dyDescent="0.3">
      <c r="A157" s="3" t="s">
        <v>501</v>
      </c>
      <c r="B157" s="3" t="s">
        <v>31</v>
      </c>
      <c r="C157" s="4" t="s">
        <v>74</v>
      </c>
      <c r="D157" s="3" t="s">
        <v>102</v>
      </c>
      <c r="E157" s="5">
        <v>43262</v>
      </c>
      <c r="F157" s="6">
        <v>0.63749999999999996</v>
      </c>
      <c r="G157" s="3">
        <v>96</v>
      </c>
      <c r="H157" s="5">
        <v>43290</v>
      </c>
      <c r="I157" s="6">
        <v>0.31597222222222221</v>
      </c>
      <c r="J157" s="3">
        <v>84</v>
      </c>
      <c r="K157" s="3">
        <v>208</v>
      </c>
      <c r="L157" s="3" t="s">
        <v>509</v>
      </c>
      <c r="M157" s="3">
        <v>4.5</v>
      </c>
      <c r="N157" s="4" t="s">
        <v>510</v>
      </c>
      <c r="O157" s="4" t="s">
        <v>511</v>
      </c>
      <c r="P157" s="3" t="s">
        <v>512</v>
      </c>
      <c r="R157" s="3">
        <f>VLOOKUP(A157,comp!A:F,2,FALSE)</f>
        <v>7.6591427846817144</v>
      </c>
      <c r="S157" s="3">
        <f>VLOOKUP(A157,comp!A:F,3,FALSE)</f>
        <v>23.583284019500098</v>
      </c>
      <c r="T157" s="3">
        <f>VLOOKUP(A157,comp!A:F,4,FALSE)</f>
        <v>54.467833291064323</v>
      </c>
      <c r="U157" s="3">
        <f>VLOOKUP(A157,comp!A:F,5,FALSE)</f>
        <v>0.50722799898554394</v>
      </c>
      <c r="V157" s="3">
        <f>VLOOKUP(A157,comp!A:F,6,FALSE)</f>
        <v>1.986642996026714</v>
      </c>
      <c r="W157" s="3">
        <f>VLOOKUP(A157,ndvi_vegnativa!A:F,2,FALSE)</f>
        <v>0.70446110832208486</v>
      </c>
      <c r="X157" s="3">
        <f>VLOOKUP(A157,ndvi_cana!A:F,2,FALSE)</f>
        <v>0.65076124912431266</v>
      </c>
      <c r="Y157" s="3">
        <f>VLOOKUP(A157,fragmentos!A:F,2,FALSE)</f>
        <v>127.9236729540861</v>
      </c>
    </row>
    <row r="158" spans="1:25" x14ac:dyDescent="0.3">
      <c r="A158" s="3" t="s">
        <v>540</v>
      </c>
      <c r="B158" s="3" t="s">
        <v>17</v>
      </c>
      <c r="C158" s="4" t="s">
        <v>342</v>
      </c>
      <c r="D158" s="3" t="s">
        <v>277</v>
      </c>
      <c r="E158" s="5">
        <v>43287</v>
      </c>
      <c r="F158" s="6">
        <v>0.34166666666666667</v>
      </c>
      <c r="G158" s="3">
        <v>99</v>
      </c>
      <c r="H158" s="5">
        <v>43320</v>
      </c>
      <c r="I158" s="6">
        <v>0.50416666666666665</v>
      </c>
      <c r="J158" s="3">
        <v>85</v>
      </c>
      <c r="K158" s="3">
        <v>165</v>
      </c>
      <c r="L158" s="3" t="s">
        <v>83</v>
      </c>
      <c r="M158" s="3">
        <v>13.5</v>
      </c>
      <c r="N158" s="4" t="s">
        <v>541</v>
      </c>
      <c r="O158" s="4" t="s">
        <v>542</v>
      </c>
      <c r="Q158" s="3" t="s">
        <v>543</v>
      </c>
      <c r="R158" s="3">
        <f>VLOOKUP(A158,comp!A:F,2,FALSE)</f>
        <v>4.3947679990979296</v>
      </c>
      <c r="S158" s="3">
        <f>VLOOKUP(A158,comp!A:F,3,FALSE)</f>
        <v>9.6211309691605109</v>
      </c>
      <c r="T158" s="3">
        <f>VLOOKUP(A158,comp!A:F,4,FALSE)</f>
        <v>76.543383886790323</v>
      </c>
      <c r="U158" s="3">
        <f>VLOOKUP(A158,comp!A:F,5,FALSE)</f>
        <v>0.66809494277499004</v>
      </c>
      <c r="V158" s="3">
        <f>VLOOKUP(A158,comp!A:F,6,FALSE)</f>
        <v>1.17832778936686</v>
      </c>
      <c r="W158" s="3">
        <f>VLOOKUP(A158,ndvi_vegnativa!A:F,2,FALSE)</f>
        <v>0.79971978192274173</v>
      </c>
      <c r="X158" s="3">
        <f>VLOOKUP(A158,ndvi_cana!A:F,2,FALSE)</f>
        <v>0.4843472551281881</v>
      </c>
      <c r="Y158" s="3">
        <f>VLOOKUP(A158,fragmentos!A:F,2,FALSE)</f>
        <v>186.40310330590901</v>
      </c>
    </row>
    <row r="159" spans="1:25" x14ac:dyDescent="0.3">
      <c r="A159" s="3" t="s">
        <v>540</v>
      </c>
      <c r="B159" s="3" t="s">
        <v>24</v>
      </c>
      <c r="C159" s="4" t="s">
        <v>46</v>
      </c>
      <c r="D159" s="3" t="s">
        <v>128</v>
      </c>
      <c r="E159" s="5">
        <v>43287</v>
      </c>
      <c r="F159" s="6">
        <v>0.37083333333333335</v>
      </c>
      <c r="G159" s="3">
        <v>99</v>
      </c>
      <c r="H159" s="5">
        <v>43320</v>
      </c>
      <c r="I159" s="6">
        <v>0.48680555555555555</v>
      </c>
      <c r="J159" s="3">
        <v>83</v>
      </c>
      <c r="K159" s="3">
        <v>330</v>
      </c>
      <c r="L159" s="3" t="s">
        <v>509</v>
      </c>
      <c r="M159" s="3">
        <v>5</v>
      </c>
      <c r="N159" s="4" t="s">
        <v>544</v>
      </c>
      <c r="O159" s="4" t="s">
        <v>545</v>
      </c>
      <c r="P159" s="3" t="s">
        <v>546</v>
      </c>
      <c r="Q159" s="3" t="s">
        <v>547</v>
      </c>
      <c r="R159" s="3">
        <f>VLOOKUP(A159,comp!A:F,2,FALSE)</f>
        <v>4.3947679990979296</v>
      </c>
      <c r="S159" s="3">
        <f>VLOOKUP(A159,comp!A:F,3,FALSE)</f>
        <v>9.6211309691605109</v>
      </c>
      <c r="T159" s="3">
        <f>VLOOKUP(A159,comp!A:F,4,FALSE)</f>
        <v>76.543383886790323</v>
      </c>
      <c r="U159" s="3">
        <f>VLOOKUP(A159,comp!A:F,5,FALSE)</f>
        <v>0.66809494277499004</v>
      </c>
      <c r="V159" s="3">
        <f>VLOOKUP(A159,comp!A:F,6,FALSE)</f>
        <v>1.17832778936686</v>
      </c>
      <c r="W159" s="3">
        <f>VLOOKUP(A159,ndvi_vegnativa!A:F,2,FALSE)</f>
        <v>0.79971978192274173</v>
      </c>
      <c r="X159" s="3">
        <f>VLOOKUP(A159,ndvi_cana!A:F,2,FALSE)</f>
        <v>0.4843472551281881</v>
      </c>
      <c r="Y159" s="3">
        <f>VLOOKUP(A159,fragmentos!A:F,2,FALSE)</f>
        <v>186.40310330590901</v>
      </c>
    </row>
    <row r="160" spans="1:25" x14ac:dyDescent="0.3">
      <c r="A160" s="3" t="s">
        <v>540</v>
      </c>
      <c r="B160" s="3" t="s">
        <v>31</v>
      </c>
      <c r="C160" s="4" t="s">
        <v>61</v>
      </c>
      <c r="D160" s="3" t="s">
        <v>133</v>
      </c>
      <c r="E160" s="5">
        <v>43287</v>
      </c>
      <c r="F160" s="6">
        <v>0.46319444444444446</v>
      </c>
      <c r="G160" s="3">
        <v>97</v>
      </c>
      <c r="H160" s="5">
        <v>43320</v>
      </c>
      <c r="I160" s="6">
        <v>0.47013888888888888</v>
      </c>
      <c r="J160" s="3">
        <v>82</v>
      </c>
      <c r="K160" s="3">
        <v>329</v>
      </c>
      <c r="L160" s="3" t="s">
        <v>83</v>
      </c>
      <c r="M160" s="3">
        <v>12</v>
      </c>
      <c r="N160" s="4" t="s">
        <v>548</v>
      </c>
      <c r="O160" s="4" t="s">
        <v>549</v>
      </c>
      <c r="R160" s="3">
        <f>VLOOKUP(A160,comp!A:F,2,FALSE)</f>
        <v>4.3947679990979296</v>
      </c>
      <c r="S160" s="3">
        <f>VLOOKUP(A160,comp!A:F,3,FALSE)</f>
        <v>9.6211309691605109</v>
      </c>
      <c r="T160" s="3">
        <f>VLOOKUP(A160,comp!A:F,4,FALSE)</f>
        <v>76.543383886790323</v>
      </c>
      <c r="U160" s="3">
        <f>VLOOKUP(A160,comp!A:F,5,FALSE)</f>
        <v>0.66809494277499004</v>
      </c>
      <c r="V160" s="3">
        <f>VLOOKUP(A160,comp!A:F,6,FALSE)</f>
        <v>1.17832778936686</v>
      </c>
      <c r="W160" s="3">
        <f>VLOOKUP(A160,ndvi_vegnativa!A:F,2,FALSE)</f>
        <v>0.79971978192274173</v>
      </c>
      <c r="X160" s="3">
        <f>VLOOKUP(A160,ndvi_cana!A:F,2,FALSE)</f>
        <v>0.4843472551281881</v>
      </c>
      <c r="Y160" s="3">
        <f>VLOOKUP(A160,fragmentos!A:F,2,FALSE)</f>
        <v>186.40310330590901</v>
      </c>
    </row>
    <row r="161" spans="1:25" x14ac:dyDescent="0.3">
      <c r="A161" s="3" t="s">
        <v>306</v>
      </c>
      <c r="B161" s="3" t="s">
        <v>17</v>
      </c>
      <c r="C161" s="4" t="s">
        <v>25</v>
      </c>
      <c r="D161" s="3" t="s">
        <v>108</v>
      </c>
      <c r="E161" s="5">
        <v>43006</v>
      </c>
      <c r="F161" s="6">
        <v>0.50347222222222221</v>
      </c>
      <c r="G161" s="3">
        <v>90</v>
      </c>
      <c r="H161" s="5">
        <v>43047</v>
      </c>
      <c r="I161" s="6">
        <v>0.49236111111111114</v>
      </c>
      <c r="J161" s="3">
        <v>78</v>
      </c>
      <c r="K161" s="3">
        <v>169</v>
      </c>
      <c r="L161" s="3" t="s">
        <v>34</v>
      </c>
      <c r="M161" s="3">
        <v>8</v>
      </c>
      <c r="N161" s="4" t="s">
        <v>307</v>
      </c>
      <c r="O161" s="4" t="s">
        <v>308</v>
      </c>
      <c r="P161" s="3" t="s">
        <v>309</v>
      </c>
      <c r="R161" s="3">
        <f>VLOOKUP(A161,comp!A:F,2,FALSE)</f>
        <v>27.4235807860262</v>
      </c>
      <c r="S161" s="3">
        <f>VLOOKUP(A161,comp!A:F,3,FALSE)</f>
        <v>64.161149457670092</v>
      </c>
      <c r="T161" s="3">
        <f>VLOOKUP(A161,comp!A:F,4,FALSE)</f>
        <v>5.1077616565713484</v>
      </c>
      <c r="U161" s="3">
        <f>VLOOKUP(A161,comp!A:F,5,FALSE)</f>
        <v>2.679250598675869</v>
      </c>
      <c r="V161" s="3">
        <f>VLOOKUP(A161,comp!A:F,6,FALSE)</f>
        <v>0.20566276940414141</v>
      </c>
      <c r="W161" s="3">
        <f>VLOOKUP(A161,ndvi_vegnativa!A:F,2,FALSE)</f>
        <v>0.79888113515108028</v>
      </c>
      <c r="X161" s="3">
        <f>VLOOKUP(A161,ndvi_cana!A:F,2,FALSE)</f>
        <v>0.52322598659938402</v>
      </c>
      <c r="Y161" s="3">
        <f>VLOOKUP(A161,fragmentos!A:F,2,FALSE)</f>
        <v>221.7775761331668</v>
      </c>
    </row>
    <row r="162" spans="1:25" x14ac:dyDescent="0.3">
      <c r="A162" s="3" t="s">
        <v>306</v>
      </c>
      <c r="B162" s="3" t="s">
        <v>24</v>
      </c>
      <c r="C162" s="4" t="s">
        <v>256</v>
      </c>
      <c r="D162" s="3" t="s">
        <v>237</v>
      </c>
      <c r="E162" s="5">
        <v>43006</v>
      </c>
      <c r="F162" s="6">
        <v>0.55138888888888893</v>
      </c>
      <c r="G162" s="3">
        <v>89</v>
      </c>
      <c r="H162" s="5">
        <v>43047</v>
      </c>
      <c r="I162" s="6">
        <v>0.5</v>
      </c>
      <c r="J162" s="3">
        <v>79</v>
      </c>
      <c r="K162" s="3">
        <v>557</v>
      </c>
      <c r="L162" s="3" t="s">
        <v>20</v>
      </c>
      <c r="M162" s="3">
        <v>10</v>
      </c>
      <c r="N162" s="4" t="s">
        <v>310</v>
      </c>
      <c r="O162" s="4" t="s">
        <v>311</v>
      </c>
      <c r="P162" s="3" t="s">
        <v>312</v>
      </c>
      <c r="Q162" s="3" t="s">
        <v>313</v>
      </c>
      <c r="R162" s="3">
        <f>VLOOKUP(A162,comp!A:F,2,FALSE)</f>
        <v>27.4235807860262</v>
      </c>
      <c r="S162" s="3">
        <f>VLOOKUP(A162,comp!A:F,3,FALSE)</f>
        <v>64.161149457670092</v>
      </c>
      <c r="T162" s="3">
        <f>VLOOKUP(A162,comp!A:F,4,FALSE)</f>
        <v>5.1077616565713484</v>
      </c>
      <c r="U162" s="3">
        <f>VLOOKUP(A162,comp!A:F,5,FALSE)</f>
        <v>2.679250598675869</v>
      </c>
      <c r="V162" s="3">
        <f>VLOOKUP(A162,comp!A:F,6,FALSE)</f>
        <v>0.20566276940414141</v>
      </c>
      <c r="W162" s="3">
        <f>VLOOKUP(A162,ndvi_vegnativa!A:F,2,FALSE)</f>
        <v>0.79888113515108028</v>
      </c>
      <c r="X162" s="3">
        <f>VLOOKUP(A162,ndvi_cana!A:F,2,FALSE)</f>
        <v>0.52322598659938402</v>
      </c>
      <c r="Y162" s="3">
        <f>VLOOKUP(A162,fragmentos!A:F,2,FALSE)</f>
        <v>221.7775761331668</v>
      </c>
    </row>
    <row r="163" spans="1:25" x14ac:dyDescent="0.3">
      <c r="A163" s="3" t="s">
        <v>306</v>
      </c>
      <c r="B163" s="3" t="s">
        <v>31</v>
      </c>
      <c r="C163" s="4" t="s">
        <v>18</v>
      </c>
      <c r="D163" s="3" t="s">
        <v>95</v>
      </c>
      <c r="E163" s="5">
        <v>43006</v>
      </c>
      <c r="F163" s="6">
        <v>0.65277777777777779</v>
      </c>
      <c r="G163" s="3">
        <v>91</v>
      </c>
      <c r="H163" s="5">
        <v>43047</v>
      </c>
      <c r="I163" s="6">
        <v>0.48472222222222222</v>
      </c>
      <c r="J163" s="3">
        <v>79</v>
      </c>
      <c r="K163" s="3">
        <v>463</v>
      </c>
      <c r="L163" s="3" t="s">
        <v>34</v>
      </c>
      <c r="M163" s="3">
        <v>11</v>
      </c>
      <c r="N163" s="4" t="s">
        <v>314</v>
      </c>
      <c r="O163" s="4" t="s">
        <v>315</v>
      </c>
      <c r="R163" s="3">
        <f>VLOOKUP(A163,comp!A:F,2,FALSE)</f>
        <v>27.4235807860262</v>
      </c>
      <c r="S163" s="3">
        <f>VLOOKUP(A163,comp!A:F,3,FALSE)</f>
        <v>64.161149457670092</v>
      </c>
      <c r="T163" s="3">
        <f>VLOOKUP(A163,comp!A:F,4,FALSE)</f>
        <v>5.1077616565713484</v>
      </c>
      <c r="U163" s="3">
        <f>VLOOKUP(A163,comp!A:F,5,FALSE)</f>
        <v>2.679250598675869</v>
      </c>
      <c r="V163" s="3">
        <f>VLOOKUP(A163,comp!A:F,6,FALSE)</f>
        <v>0.20566276940414141</v>
      </c>
      <c r="W163" s="3">
        <f>VLOOKUP(A163,ndvi_vegnativa!A:F,2,FALSE)</f>
        <v>0.79888113515108028</v>
      </c>
      <c r="X163" s="3">
        <f>VLOOKUP(A163,ndvi_cana!A:F,2,FALSE)</f>
        <v>0.52322598659938402</v>
      </c>
      <c r="Y163" s="3">
        <f>VLOOKUP(A163,fragmentos!A:F,2,FALSE)</f>
        <v>221.7775761331668</v>
      </c>
    </row>
  </sheetData>
  <autoFilter ref="A1:Q163" xr:uid="{F489FC9A-40F3-40AA-9B32-AA114B119A1D}">
    <sortState xmlns:xlrd2="http://schemas.microsoft.com/office/spreadsheetml/2017/richdata2" ref="A2:Q163">
      <sortCondition ref="A1:A163"/>
    </sortState>
  </autoFilter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5805F-20C2-491B-B186-A966458C5C23}">
  <dimension ref="A1:G56"/>
  <sheetViews>
    <sheetView workbookViewId="0">
      <selection activeCell="C1" sqref="C1"/>
    </sheetView>
  </sheetViews>
  <sheetFormatPr defaultRowHeight="14.4" x14ac:dyDescent="0.3"/>
  <sheetData>
    <row r="1" spans="1:7" x14ac:dyDescent="0.3">
      <c r="A1" s="20" t="s">
        <v>692</v>
      </c>
      <c r="B1" s="20" t="s">
        <v>749</v>
      </c>
      <c r="C1" s="20" t="s">
        <v>748</v>
      </c>
      <c r="D1" s="20" t="s">
        <v>750</v>
      </c>
      <c r="E1" s="20" t="s">
        <v>751</v>
      </c>
      <c r="F1" s="20" t="s">
        <v>752</v>
      </c>
      <c r="G1" t="s">
        <v>756</v>
      </c>
    </row>
    <row r="2" spans="1:7" x14ac:dyDescent="0.3">
      <c r="A2" t="s">
        <v>693</v>
      </c>
      <c r="B2">
        <v>29.234672304439801</v>
      </c>
      <c r="C2">
        <v>58.883720930232563</v>
      </c>
      <c r="D2">
        <v>9.5870331219168428</v>
      </c>
      <c r="E2">
        <v>1.9281183932346719</v>
      </c>
      <c r="F2">
        <v>0.1014799154334038</v>
      </c>
    </row>
    <row r="3" spans="1:7" x14ac:dyDescent="0.3">
      <c r="A3" s="21" t="s">
        <v>694</v>
      </c>
      <c r="B3" s="21">
        <v>18.718461928790909</v>
      </c>
      <c r="C3" s="21">
        <v>62.946466326501827</v>
      </c>
      <c r="D3" s="21">
        <v>10.261325515180561</v>
      </c>
      <c r="E3" s="21">
        <v>7.9327939559665088</v>
      </c>
      <c r="F3" s="21">
        <v>6.4838045837679353E-2</v>
      </c>
    </row>
    <row r="4" spans="1:7" x14ac:dyDescent="0.3">
      <c r="A4" t="s">
        <v>695</v>
      </c>
      <c r="B4">
        <v>19.082786030385879</v>
      </c>
      <c r="C4">
        <v>71.826817374637088</v>
      </c>
      <c r="D4">
        <v>1.801166953237308</v>
      </c>
      <c r="E4">
        <v>0.28187276263494648</v>
      </c>
      <c r="F4">
        <v>4.3746652760943707</v>
      </c>
    </row>
    <row r="5" spans="1:7" x14ac:dyDescent="0.3">
      <c r="A5" t="s">
        <v>696</v>
      </c>
      <c r="B5">
        <v>56.627864370472672</v>
      </c>
      <c r="C5">
        <v>33.13509399926717</v>
      </c>
      <c r="D5">
        <v>4.8817610417430028</v>
      </c>
      <c r="E5">
        <v>3.2695397277262601</v>
      </c>
      <c r="F5">
        <v>0.13810986780912651</v>
      </c>
    </row>
    <row r="6" spans="1:7" x14ac:dyDescent="0.3">
      <c r="A6" s="21" t="s">
        <v>697</v>
      </c>
      <c r="B6" s="21">
        <v>29.412759719207241</v>
      </c>
      <c r="C6" s="21">
        <v>49.925291082856418</v>
      </c>
      <c r="D6" s="21">
        <v>15.91440895379324</v>
      </c>
      <c r="E6" s="21">
        <v>4.2175298130867471</v>
      </c>
      <c r="F6" s="21">
        <v>0.36085816582560398</v>
      </c>
    </row>
    <row r="7" spans="1:7" x14ac:dyDescent="0.3">
      <c r="A7" t="s">
        <v>698</v>
      </c>
      <c r="B7">
        <v>55.055514850927118</v>
      </c>
      <c r="C7">
        <v>8.0369723271149187</v>
      </c>
      <c r="D7">
        <v>12.82477596798738</v>
      </c>
      <c r="E7">
        <v>22.772360931071411</v>
      </c>
      <c r="F7">
        <v>0</v>
      </c>
    </row>
    <row r="8" spans="1:7" x14ac:dyDescent="0.3">
      <c r="A8" s="21" t="s">
        <v>699</v>
      </c>
      <c r="B8" s="21">
        <v>18.511525672096031</v>
      </c>
      <c r="C8" s="21">
        <v>71.887504931522287</v>
      </c>
      <c r="D8" s="21">
        <v>9.1444513329200241</v>
      </c>
      <c r="E8" s="21">
        <v>0.26207518457983431</v>
      </c>
      <c r="F8" s="21">
        <v>9.58124330721975E-2</v>
      </c>
    </row>
    <row r="9" spans="1:7" x14ac:dyDescent="0.3">
      <c r="A9" s="21" t="s">
        <v>700</v>
      </c>
      <c r="B9" s="21">
        <v>28.73122763517512</v>
      </c>
      <c r="C9" s="21">
        <v>63.021611112676453</v>
      </c>
      <c r="D9" s="21">
        <v>5.2210419542982729</v>
      </c>
      <c r="E9" s="21">
        <v>0.38601335549857713</v>
      </c>
      <c r="F9" s="21">
        <v>2.507678002873968</v>
      </c>
    </row>
    <row r="10" spans="1:7" x14ac:dyDescent="0.3">
      <c r="A10" t="s">
        <v>701</v>
      </c>
      <c r="B10">
        <v>37.6312899501591</v>
      </c>
      <c r="C10">
        <v>52.220313687945257</v>
      </c>
      <c r="D10">
        <v>5.9780925294962408</v>
      </c>
      <c r="E10">
        <v>2.9116098330188951</v>
      </c>
      <c r="F10">
        <v>0.65328189677019688</v>
      </c>
    </row>
    <row r="11" spans="1:7" x14ac:dyDescent="0.3">
      <c r="A11" t="s">
        <v>702</v>
      </c>
      <c r="B11">
        <v>14.183017591339651</v>
      </c>
      <c r="C11">
        <v>69.181326116373469</v>
      </c>
      <c r="D11">
        <v>3.1997068110058642</v>
      </c>
      <c r="E11">
        <v>2.8219440685611188</v>
      </c>
      <c r="F11">
        <v>5.9060667568786656</v>
      </c>
    </row>
    <row r="12" spans="1:7" x14ac:dyDescent="0.3">
      <c r="A12" t="s">
        <v>703</v>
      </c>
      <c r="B12">
        <v>22.419427541131402</v>
      </c>
      <c r="C12">
        <v>66.291976560739243</v>
      </c>
      <c r="D12">
        <v>8.350236646382692</v>
      </c>
      <c r="E12">
        <v>1.9579670948839309</v>
      </c>
      <c r="F12">
        <v>0.40004507550146501</v>
      </c>
    </row>
    <row r="13" spans="1:7" x14ac:dyDescent="0.3">
      <c r="A13" s="21" t="s">
        <v>704</v>
      </c>
      <c r="B13" s="21">
        <v>25.195097901112831</v>
      </c>
      <c r="C13" s="21">
        <v>51.097337653190593</v>
      </c>
      <c r="D13" s="21">
        <v>17.69826736160023</v>
      </c>
      <c r="E13" s="21">
        <v>5.431750950838147</v>
      </c>
      <c r="F13" s="21">
        <v>0.1746724890829694</v>
      </c>
    </row>
    <row r="14" spans="1:7" x14ac:dyDescent="0.3">
      <c r="A14" t="s">
        <v>705</v>
      </c>
      <c r="B14">
        <v>25.406045567335891</v>
      </c>
      <c r="C14">
        <v>67.840627114820663</v>
      </c>
      <c r="D14">
        <v>2.1063613805549291</v>
      </c>
      <c r="E14">
        <v>3.5021430182720499</v>
      </c>
      <c r="F14">
        <v>0.6400857207308821</v>
      </c>
    </row>
    <row r="15" spans="1:7" x14ac:dyDescent="0.3">
      <c r="A15" t="s">
        <v>706</v>
      </c>
      <c r="B15">
        <v>43.038723859985353</v>
      </c>
      <c r="C15">
        <v>30.742348232906821</v>
      </c>
      <c r="D15">
        <v>11.76934783834057</v>
      </c>
      <c r="E15">
        <v>14.359393495293389</v>
      </c>
      <c r="F15">
        <v>0</v>
      </c>
    </row>
    <row r="16" spans="1:7" x14ac:dyDescent="0.3">
      <c r="A16" s="21" t="s">
        <v>707</v>
      </c>
      <c r="B16" s="21">
        <v>33.870558733199957</v>
      </c>
      <c r="C16" s="21">
        <v>26.58702206193119</v>
      </c>
      <c r="D16" s="21">
        <v>17.657997802259729</v>
      </c>
      <c r="E16" s="21">
        <v>21.88442140260911</v>
      </c>
      <c r="F16" s="21">
        <v>0</v>
      </c>
    </row>
    <row r="17" spans="1:6" x14ac:dyDescent="0.3">
      <c r="A17" s="21" t="s">
        <v>708</v>
      </c>
      <c r="B17" s="21">
        <v>21.67075336095375</v>
      </c>
      <c r="C17" s="21">
        <v>58.696203601927799</v>
      </c>
      <c r="D17" s="21">
        <v>11.73585862856177</v>
      </c>
      <c r="E17" s="21">
        <v>4.8983963247935511</v>
      </c>
      <c r="F17" s="21">
        <v>1.417660156139906</v>
      </c>
    </row>
    <row r="18" spans="1:6" x14ac:dyDescent="0.3">
      <c r="A18" t="s">
        <v>709</v>
      </c>
      <c r="B18">
        <v>13.57537490134175</v>
      </c>
      <c r="C18">
        <v>78.836396437027844</v>
      </c>
      <c r="D18">
        <v>5.9956026609538844</v>
      </c>
      <c r="E18">
        <v>1.3417521704814519</v>
      </c>
      <c r="F18">
        <v>3.9463299131807419E-2</v>
      </c>
    </row>
    <row r="19" spans="1:6" x14ac:dyDescent="0.3">
      <c r="A19" t="s">
        <v>710</v>
      </c>
      <c r="B19">
        <v>23.426622699472951</v>
      </c>
      <c r="C19">
        <v>52.619711958513008</v>
      </c>
      <c r="D19">
        <v>15.963473408303029</v>
      </c>
      <c r="E19">
        <v>2.5703897860826919</v>
      </c>
      <c r="F19">
        <v>2.46610862151574</v>
      </c>
    </row>
    <row r="20" spans="1:6" x14ac:dyDescent="0.3">
      <c r="A20" s="21" t="s">
        <v>711</v>
      </c>
      <c r="B20" s="21">
        <v>22.593646946080781</v>
      </c>
      <c r="C20" s="21">
        <v>64.164717156627859</v>
      </c>
      <c r="D20" s="21">
        <v>7.511485667578004</v>
      </c>
      <c r="E20" s="21">
        <v>4.9945037909749432</v>
      </c>
      <c r="F20" s="21">
        <v>0.21421122354068611</v>
      </c>
    </row>
    <row r="21" spans="1:6" x14ac:dyDescent="0.3">
      <c r="A21" s="21" t="s">
        <v>712</v>
      </c>
      <c r="B21" s="21">
        <v>41.162213955585607</v>
      </c>
      <c r="C21" s="21">
        <v>32.056701611994143</v>
      </c>
      <c r="D21" s="21">
        <v>19.800473452823809</v>
      </c>
      <c r="E21" s="21">
        <v>2.474354638710405</v>
      </c>
      <c r="F21" s="21">
        <v>7.8908803967985566E-2</v>
      </c>
    </row>
    <row r="22" spans="1:6" x14ac:dyDescent="0.3">
      <c r="A22" s="21" t="s">
        <v>713</v>
      </c>
      <c r="B22" s="21">
        <v>28.174882463894601</v>
      </c>
      <c r="C22" s="21">
        <v>53.455702260634553</v>
      </c>
      <c r="D22" s="21">
        <v>8.7581993750175968</v>
      </c>
      <c r="E22" s="21">
        <v>9.5915092480504498</v>
      </c>
      <c r="F22" s="21">
        <v>0</v>
      </c>
    </row>
    <row r="23" spans="1:6" x14ac:dyDescent="0.3">
      <c r="A23" t="s">
        <v>714</v>
      </c>
      <c r="B23">
        <v>17.139476575485251</v>
      </c>
      <c r="C23">
        <v>67.16060512155957</v>
      </c>
      <c r="D23">
        <v>11.88832859114855</v>
      </c>
      <c r="E23">
        <v>1.0057187931374481</v>
      </c>
      <c r="F23">
        <v>1.231089951263487</v>
      </c>
    </row>
    <row r="24" spans="1:6" x14ac:dyDescent="0.3">
      <c r="A24" t="s">
        <v>715</v>
      </c>
      <c r="B24">
        <v>9.0847610459873778</v>
      </c>
      <c r="C24">
        <v>72.27795311091073</v>
      </c>
      <c r="D24">
        <v>16.326645626690709</v>
      </c>
      <c r="E24">
        <v>0.42831379621280441</v>
      </c>
      <c r="F24">
        <v>1.634355275022543</v>
      </c>
    </row>
    <row r="25" spans="1:6" x14ac:dyDescent="0.3">
      <c r="A25" s="21" t="s">
        <v>716</v>
      </c>
      <c r="B25" s="21">
        <v>14.46308913790191</v>
      </c>
      <c r="C25" s="21">
        <v>36.618052818289307</v>
      </c>
      <c r="D25" s="21">
        <v>18.655329691987159</v>
      </c>
      <c r="E25" s="21">
        <v>3.8938003265949659</v>
      </c>
      <c r="F25" s="21">
        <v>0.27310096289205471</v>
      </c>
    </row>
    <row r="26" spans="1:6" x14ac:dyDescent="0.3">
      <c r="A26" t="s">
        <v>717</v>
      </c>
      <c r="B26">
        <v>20.840137395123602</v>
      </c>
      <c r="C26">
        <v>55.27338251027647</v>
      </c>
      <c r="D26">
        <v>19.89132270961203</v>
      </c>
      <c r="E26">
        <v>2.5170336167577001</v>
      </c>
      <c r="F26">
        <v>0.54620192578410942</v>
      </c>
    </row>
    <row r="27" spans="1:6" x14ac:dyDescent="0.3">
      <c r="A27" t="s">
        <v>718</v>
      </c>
      <c r="B27">
        <v>58.941795962042058</v>
      </c>
      <c r="C27">
        <v>2.6469180300171771</v>
      </c>
      <c r="D27">
        <v>20.584011488750601</v>
      </c>
      <c r="E27">
        <v>17.469658998113371</v>
      </c>
      <c r="F27">
        <v>0</v>
      </c>
    </row>
    <row r="28" spans="1:6" x14ac:dyDescent="0.3">
      <c r="A28" s="21" t="s">
        <v>719</v>
      </c>
      <c r="B28" s="21">
        <v>23.322908742568959</v>
      </c>
      <c r="C28" s="21">
        <v>19.75600822697433</v>
      </c>
      <c r="D28" s="21">
        <v>32.761389569774323</v>
      </c>
      <c r="E28" s="21">
        <v>3.7922970726622149</v>
      </c>
      <c r="F28" s="21">
        <v>0.27329332544445378</v>
      </c>
    </row>
    <row r="29" spans="1:6" x14ac:dyDescent="0.3">
      <c r="A29" t="s">
        <v>720</v>
      </c>
      <c r="B29">
        <v>8.4396384218974401</v>
      </c>
      <c r="C29">
        <v>79.868209850468872</v>
      </c>
      <c r="D29">
        <v>7.7778716454056482</v>
      </c>
      <c r="E29">
        <v>3.0976317197488099E-2</v>
      </c>
      <c r="F29">
        <v>3.3567063726732558</v>
      </c>
    </row>
    <row r="30" spans="1:6" x14ac:dyDescent="0.3">
      <c r="A30" t="s">
        <v>721</v>
      </c>
      <c r="B30">
        <v>36.665915238954007</v>
      </c>
      <c r="C30">
        <v>50.69600991884581</v>
      </c>
      <c r="D30">
        <v>11.113615870153289</v>
      </c>
      <c r="E30">
        <v>1.361023444544635</v>
      </c>
      <c r="F30">
        <v>2.536068530207394E-2</v>
      </c>
    </row>
    <row r="31" spans="1:6" x14ac:dyDescent="0.3">
      <c r="A31" t="s">
        <v>722</v>
      </c>
      <c r="B31">
        <v>7.5147928994082829</v>
      </c>
      <c r="C31">
        <v>72.116089039165956</v>
      </c>
      <c r="D31">
        <v>19.706959706959712</v>
      </c>
      <c r="E31">
        <v>0.15497323189630879</v>
      </c>
      <c r="F31">
        <v>0.50718512256973791</v>
      </c>
    </row>
    <row r="32" spans="1:6" x14ac:dyDescent="0.3">
      <c r="A32" t="s">
        <v>723</v>
      </c>
      <c r="B32">
        <v>3.3383102797419499</v>
      </c>
      <c r="C32">
        <v>13.66030932191453</v>
      </c>
      <c r="D32">
        <v>22.362453165056198</v>
      </c>
      <c r="E32">
        <v>5.6342789531509717E-3</v>
      </c>
      <c r="F32">
        <v>2.4762655999098522</v>
      </c>
    </row>
    <row r="33" spans="1:6" x14ac:dyDescent="0.3">
      <c r="A33" t="s">
        <v>724</v>
      </c>
      <c r="B33">
        <v>48.921958231165974</v>
      </c>
      <c r="C33">
        <v>0.37766692032355342</v>
      </c>
      <c r="D33">
        <v>25.278317972999631</v>
      </c>
      <c r="E33">
        <v>24.22705109777063</v>
      </c>
      <c r="F33">
        <v>0</v>
      </c>
    </row>
    <row r="34" spans="1:6" x14ac:dyDescent="0.3">
      <c r="A34" s="21" t="s">
        <v>725</v>
      </c>
      <c r="B34" s="21">
        <v>18.354234183457798</v>
      </c>
      <c r="C34" s="21">
        <v>50.655206425250107</v>
      </c>
      <c r="D34" s="21">
        <v>20.97787797660984</v>
      </c>
      <c r="E34" s="21">
        <v>3.6127941383683249</v>
      </c>
      <c r="F34" s="21">
        <v>4.3764971114555449</v>
      </c>
    </row>
    <row r="35" spans="1:6" x14ac:dyDescent="0.3">
      <c r="A35" s="21" t="s">
        <v>726</v>
      </c>
      <c r="B35" s="21">
        <v>44.05285102546766</v>
      </c>
      <c r="C35" s="21">
        <v>3.915934189767861</v>
      </c>
      <c r="D35" s="21">
        <v>27.583389677710159</v>
      </c>
      <c r="E35" s="21">
        <v>23.016677935542031</v>
      </c>
      <c r="F35" s="21">
        <v>0.26200135226504401</v>
      </c>
    </row>
    <row r="36" spans="1:6" x14ac:dyDescent="0.3">
      <c r="A36" s="21" t="s">
        <v>727</v>
      </c>
      <c r="B36" s="21">
        <v>31.984889916274351</v>
      </c>
      <c r="C36" s="21">
        <v>38.990217912214924</v>
      </c>
      <c r="D36" s="21">
        <v>26.913427113579338</v>
      </c>
      <c r="E36" s="21">
        <v>1.4546274631409799</v>
      </c>
      <c r="F36" s="21">
        <v>0</v>
      </c>
    </row>
    <row r="37" spans="1:6" x14ac:dyDescent="0.3">
      <c r="A37" t="s">
        <v>728</v>
      </c>
      <c r="B37">
        <v>39.264979426187928</v>
      </c>
      <c r="C37">
        <v>15.45572402908517</v>
      </c>
      <c r="D37">
        <v>10.303816019390119</v>
      </c>
      <c r="E37">
        <v>9.850064821599684</v>
      </c>
      <c r="F37">
        <v>24.821036018262781</v>
      </c>
    </row>
    <row r="38" spans="1:6" x14ac:dyDescent="0.3">
      <c r="A38" t="s">
        <v>729</v>
      </c>
      <c r="B38">
        <v>25.964220312720101</v>
      </c>
      <c r="C38">
        <v>42.048175799408369</v>
      </c>
      <c r="D38">
        <v>26.851669249190032</v>
      </c>
      <c r="E38">
        <v>2.070714185096493</v>
      </c>
      <c r="F38">
        <v>2.12424285110579</v>
      </c>
    </row>
    <row r="39" spans="1:6" x14ac:dyDescent="0.3">
      <c r="A39" t="s">
        <v>730</v>
      </c>
      <c r="B39">
        <v>4.9019055135866507</v>
      </c>
      <c r="C39">
        <v>54.183109707971589</v>
      </c>
      <c r="D39">
        <v>25.693426541887469</v>
      </c>
      <c r="E39">
        <v>1.197993009358439</v>
      </c>
      <c r="F39">
        <v>11.320329236667041</v>
      </c>
    </row>
    <row r="40" spans="1:6" x14ac:dyDescent="0.3">
      <c r="A40" t="s">
        <v>731</v>
      </c>
      <c r="B40">
        <v>40.527740189445197</v>
      </c>
      <c r="C40">
        <v>18.203089760938209</v>
      </c>
      <c r="D40">
        <v>33.871786197564283</v>
      </c>
      <c r="E40">
        <v>6.9209517365809656</v>
      </c>
      <c r="F40">
        <v>0.1973387460532251</v>
      </c>
    </row>
    <row r="41" spans="1:6" x14ac:dyDescent="0.3">
      <c r="A41" t="s">
        <v>732</v>
      </c>
      <c r="B41">
        <v>20.41029109251275</v>
      </c>
      <c r="C41">
        <v>29.174063741651871</v>
      </c>
      <c r="D41">
        <v>40.710682785245297</v>
      </c>
      <c r="E41">
        <v>8.2621805168089715</v>
      </c>
      <c r="F41">
        <v>0.21134499957731001</v>
      </c>
    </row>
    <row r="42" spans="1:6" x14ac:dyDescent="0.3">
      <c r="A42" s="21" t="s">
        <v>733</v>
      </c>
      <c r="B42" s="21">
        <v>19.03728546064313</v>
      </c>
      <c r="C42" s="21">
        <v>1.6824958430797849</v>
      </c>
      <c r="D42" s="21">
        <v>43.133331454499327</v>
      </c>
      <c r="E42" s="21">
        <v>7.0653552405377216</v>
      </c>
      <c r="F42" s="21">
        <v>0.83138404306287528</v>
      </c>
    </row>
    <row r="43" spans="1:6" x14ac:dyDescent="0.3">
      <c r="A43" t="s">
        <v>734</v>
      </c>
      <c r="B43">
        <v>25.277355409134429</v>
      </c>
      <c r="C43">
        <v>10.381821253590131</v>
      </c>
      <c r="D43">
        <v>26.13617165061666</v>
      </c>
      <c r="E43">
        <v>36.565861350453339</v>
      </c>
      <c r="F43">
        <v>0.34071070563721351</v>
      </c>
    </row>
    <row r="44" spans="1:6" x14ac:dyDescent="0.3">
      <c r="A44" t="s">
        <v>735</v>
      </c>
      <c r="B44">
        <v>23.06130505893632</v>
      </c>
      <c r="C44">
        <v>23.526591844791611</v>
      </c>
      <c r="D44">
        <v>37.183463989622688</v>
      </c>
      <c r="E44">
        <v>14.96249506514015</v>
      </c>
      <c r="F44">
        <v>0.2622525520275224</v>
      </c>
    </row>
    <row r="45" spans="1:6" x14ac:dyDescent="0.3">
      <c r="A45" t="s">
        <v>736</v>
      </c>
      <c r="B45">
        <v>34.214978569817283</v>
      </c>
      <c r="C45">
        <v>17.733476201218139</v>
      </c>
      <c r="D45">
        <v>38.867584028874347</v>
      </c>
      <c r="E45">
        <v>4.9458605910218809</v>
      </c>
      <c r="F45">
        <v>0.33555154522896452</v>
      </c>
    </row>
    <row r="46" spans="1:6" x14ac:dyDescent="0.3">
      <c r="A46" t="s">
        <v>737</v>
      </c>
      <c r="B46">
        <v>20.066484491647181</v>
      </c>
      <c r="C46">
        <v>53.207313294081203</v>
      </c>
      <c r="D46">
        <v>11.023466771839869</v>
      </c>
      <c r="E46">
        <v>0.77189621658168295</v>
      </c>
      <c r="F46">
        <v>10.22903343944559</v>
      </c>
    </row>
    <row r="47" spans="1:6" x14ac:dyDescent="0.3">
      <c r="A47" t="s">
        <v>738</v>
      </c>
      <c r="B47">
        <v>48.631507737407333</v>
      </c>
      <c r="C47">
        <v>13.81176536911239</v>
      </c>
      <c r="D47">
        <v>29.62482735293289</v>
      </c>
      <c r="E47">
        <v>7.723313696197537</v>
      </c>
      <c r="F47">
        <v>2.8187276263494661E-2</v>
      </c>
    </row>
    <row r="48" spans="1:6" x14ac:dyDescent="0.3">
      <c r="A48" s="21" t="s">
        <v>739</v>
      </c>
      <c r="B48" s="21">
        <v>5.8011049723756907</v>
      </c>
      <c r="C48" s="21">
        <v>29.360694554064722</v>
      </c>
      <c r="D48" s="21">
        <v>64.578870222121992</v>
      </c>
      <c r="E48" s="21">
        <v>0</v>
      </c>
      <c r="F48" s="21">
        <v>2.8188070808433871E-2</v>
      </c>
    </row>
    <row r="49" spans="1:6" x14ac:dyDescent="0.3">
      <c r="A49" t="s">
        <v>740</v>
      </c>
      <c r="B49">
        <v>22.80207394048692</v>
      </c>
      <c r="C49">
        <v>36.347497745716858</v>
      </c>
      <c r="D49">
        <v>22.261045987376011</v>
      </c>
      <c r="E49">
        <v>2.366997294860234</v>
      </c>
      <c r="F49">
        <v>14.02727682596934</v>
      </c>
    </row>
    <row r="50" spans="1:6" x14ac:dyDescent="0.3">
      <c r="A50" s="21" t="s">
        <v>741</v>
      </c>
      <c r="B50" s="21">
        <v>13.5420776731864</v>
      </c>
      <c r="C50" s="21">
        <v>38.746406628713153</v>
      </c>
      <c r="D50" s="21">
        <v>44.323882531988048</v>
      </c>
      <c r="E50" s="21">
        <v>2.804238768953272</v>
      </c>
      <c r="F50" s="21">
        <v>0.52984611915901025</v>
      </c>
    </row>
    <row r="51" spans="1:6" x14ac:dyDescent="0.3">
      <c r="A51" t="s">
        <v>742</v>
      </c>
      <c r="B51">
        <v>21.610730690111868</v>
      </c>
      <c r="C51">
        <v>39.346803054639729</v>
      </c>
      <c r="D51">
        <v>31.17761433764478</v>
      </c>
      <c r="E51">
        <v>1.296249330740834</v>
      </c>
      <c r="F51">
        <v>3.3899737932200531</v>
      </c>
    </row>
    <row r="52" spans="1:6" x14ac:dyDescent="0.3">
      <c r="A52" t="s">
        <v>743</v>
      </c>
      <c r="B52">
        <v>30.361873626063922</v>
      </c>
      <c r="C52">
        <v>22.51564173383688</v>
      </c>
      <c r="D52">
        <v>43.79121808240798</v>
      </c>
      <c r="E52">
        <v>2.8634237077955018</v>
      </c>
      <c r="F52">
        <v>0</v>
      </c>
    </row>
    <row r="53" spans="1:6" x14ac:dyDescent="0.3">
      <c r="A53" t="s">
        <v>744</v>
      </c>
      <c r="B53">
        <v>6.9467155342542979</v>
      </c>
      <c r="C53">
        <v>22.737524668734139</v>
      </c>
      <c r="D53">
        <v>57.135607555680863</v>
      </c>
      <c r="E53">
        <v>1.1220749929517899</v>
      </c>
      <c r="F53">
        <v>9.3290104313504365</v>
      </c>
    </row>
    <row r="54" spans="1:6" x14ac:dyDescent="0.3">
      <c r="A54" t="s">
        <v>745</v>
      </c>
      <c r="B54">
        <v>7.6591427846817144</v>
      </c>
      <c r="C54">
        <v>23.583284019500098</v>
      </c>
      <c r="D54">
        <v>54.467833291064323</v>
      </c>
      <c r="E54">
        <v>0.50722799898554394</v>
      </c>
      <c r="F54">
        <v>1.986642996026714</v>
      </c>
    </row>
    <row r="55" spans="1:6" x14ac:dyDescent="0.3">
      <c r="A55" t="s">
        <v>746</v>
      </c>
      <c r="B55">
        <v>4.3947679990979296</v>
      </c>
      <c r="C55">
        <v>9.6211309691605109</v>
      </c>
      <c r="D55">
        <v>76.543383886790323</v>
      </c>
      <c r="E55">
        <v>0.66809494277499004</v>
      </c>
      <c r="F55">
        <v>1.17832778936686</v>
      </c>
    </row>
    <row r="56" spans="1:6" x14ac:dyDescent="0.3">
      <c r="A56" t="s">
        <v>747</v>
      </c>
      <c r="B56">
        <v>27.4235807860262</v>
      </c>
      <c r="C56">
        <v>64.161149457670092</v>
      </c>
      <c r="D56">
        <v>5.1077616565713484</v>
      </c>
      <c r="E56">
        <v>2.679250598675869</v>
      </c>
      <c r="F56">
        <v>0.20566276940414141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F55D-79AA-4C3F-BED3-D61DB44E3A80}">
  <dimension ref="A1:B56"/>
  <sheetViews>
    <sheetView workbookViewId="0">
      <selection activeCell="B1" sqref="B1"/>
    </sheetView>
  </sheetViews>
  <sheetFormatPr defaultRowHeight="14.4" x14ac:dyDescent="0.3"/>
  <cols>
    <col min="1" max="1" width="62" customWidth="1"/>
    <col min="2" max="2" width="35" customWidth="1"/>
  </cols>
  <sheetData>
    <row r="1" spans="1:2" ht="16.8" x14ac:dyDescent="0.3">
      <c r="A1" s="22" t="s">
        <v>753</v>
      </c>
      <c r="B1" s="22" t="s">
        <v>756</v>
      </c>
    </row>
    <row r="2" spans="1:2" ht="15" x14ac:dyDescent="0.35">
      <c r="A2" s="23" t="s">
        <v>693</v>
      </c>
      <c r="B2" s="24">
        <v>0.82955160083549573</v>
      </c>
    </row>
    <row r="3" spans="1:2" ht="15" x14ac:dyDescent="0.35">
      <c r="A3" s="25" t="s">
        <v>694</v>
      </c>
      <c r="B3" s="26">
        <v>0.77417889530603101</v>
      </c>
    </row>
    <row r="4" spans="1:2" ht="15" x14ac:dyDescent="0.35">
      <c r="A4" s="23" t="s">
        <v>695</v>
      </c>
      <c r="B4" s="24">
        <v>0.64742378539171563</v>
      </c>
    </row>
    <row r="5" spans="1:2" ht="15" x14ac:dyDescent="0.35">
      <c r="A5" s="25" t="s">
        <v>696</v>
      </c>
      <c r="B5" s="26">
        <v>0.79797654356007774</v>
      </c>
    </row>
    <row r="6" spans="1:2" ht="15" x14ac:dyDescent="0.35">
      <c r="A6" s="23" t="s">
        <v>697</v>
      </c>
      <c r="B6" s="24">
        <v>0.79507342103381451</v>
      </c>
    </row>
    <row r="7" spans="1:2" ht="15" x14ac:dyDescent="0.35">
      <c r="A7" s="25" t="s">
        <v>698</v>
      </c>
      <c r="B7" s="26">
        <v>0.83003472758219787</v>
      </c>
    </row>
    <row r="8" spans="1:2" ht="15" x14ac:dyDescent="0.35">
      <c r="A8" s="23" t="s">
        <v>699</v>
      </c>
      <c r="B8" s="24">
        <v>0.7697975625247766</v>
      </c>
    </row>
    <row r="9" spans="1:2" ht="15" x14ac:dyDescent="0.35">
      <c r="A9" s="25" t="s">
        <v>700</v>
      </c>
      <c r="B9" s="26">
        <v>0.77692409519749484</v>
      </c>
    </row>
    <row r="10" spans="1:2" ht="15" x14ac:dyDescent="0.35">
      <c r="A10" s="23" t="s">
        <v>701</v>
      </c>
      <c r="B10" s="24">
        <v>0.82636900869522434</v>
      </c>
    </row>
    <row r="11" spans="1:2" ht="15" x14ac:dyDescent="0.35">
      <c r="A11" s="25" t="s">
        <v>702</v>
      </c>
      <c r="B11" s="26">
        <v>0.68702281756483685</v>
      </c>
    </row>
    <row r="12" spans="1:2" ht="15" x14ac:dyDescent="0.35">
      <c r="A12" s="23" t="s">
        <v>703</v>
      </c>
      <c r="B12" s="24">
        <v>0.83198153563348387</v>
      </c>
    </row>
    <row r="13" spans="1:2" ht="15" x14ac:dyDescent="0.35">
      <c r="A13" s="25" t="s">
        <v>704</v>
      </c>
      <c r="B13" s="26">
        <v>0.82827918258880295</v>
      </c>
    </row>
    <row r="14" spans="1:2" ht="15" x14ac:dyDescent="0.35">
      <c r="A14" s="23" t="s">
        <v>705</v>
      </c>
      <c r="B14" s="24">
        <v>0.77238380725639</v>
      </c>
    </row>
    <row r="15" spans="1:2" ht="15" x14ac:dyDescent="0.35">
      <c r="A15" s="25" t="s">
        <v>706</v>
      </c>
      <c r="B15" s="26">
        <v>0.81586815846836591</v>
      </c>
    </row>
    <row r="16" spans="1:2" ht="15" x14ac:dyDescent="0.35">
      <c r="A16" s="23" t="s">
        <v>707</v>
      </c>
      <c r="B16" s="24">
        <v>0.81884802233118892</v>
      </c>
    </row>
    <row r="17" spans="1:2" ht="15" x14ac:dyDescent="0.35">
      <c r="A17" s="25" t="s">
        <v>708</v>
      </c>
      <c r="B17" s="26">
        <v>0.81116924705706495</v>
      </c>
    </row>
    <row r="18" spans="1:2" ht="15" x14ac:dyDescent="0.35">
      <c r="A18" s="23" t="s">
        <v>709</v>
      </c>
      <c r="B18" s="24">
        <v>0.77278703436455221</v>
      </c>
    </row>
    <row r="19" spans="1:2" ht="15" x14ac:dyDescent="0.35">
      <c r="A19" s="25" t="s">
        <v>710</v>
      </c>
      <c r="B19" s="26">
        <v>0.61097058266156512</v>
      </c>
    </row>
    <row r="20" spans="1:2" ht="15" x14ac:dyDescent="0.35">
      <c r="A20" s="23" t="s">
        <v>711</v>
      </c>
      <c r="B20" s="24">
        <v>0.80065931816794578</v>
      </c>
    </row>
    <row r="21" spans="1:2" ht="15" x14ac:dyDescent="0.35">
      <c r="A21" s="25" t="s">
        <v>712</v>
      </c>
      <c r="B21" s="26">
        <v>0.83257489017125141</v>
      </c>
    </row>
    <row r="22" spans="1:2" ht="15" x14ac:dyDescent="0.35">
      <c r="A22" s="23" t="s">
        <v>713</v>
      </c>
      <c r="B22" s="24">
        <v>0.83714981451522807</v>
      </c>
    </row>
    <row r="23" spans="1:2" ht="15" x14ac:dyDescent="0.35">
      <c r="A23" s="25" t="s">
        <v>714</v>
      </c>
      <c r="B23" s="26">
        <v>0.76870673722423788</v>
      </c>
    </row>
    <row r="24" spans="1:2" ht="15" x14ac:dyDescent="0.35">
      <c r="A24" s="23" t="s">
        <v>715</v>
      </c>
      <c r="B24" s="24">
        <v>0.79043094329492025</v>
      </c>
    </row>
    <row r="25" spans="1:2" ht="15" x14ac:dyDescent="0.35">
      <c r="A25" s="25" t="s">
        <v>716</v>
      </c>
      <c r="B25" s="26">
        <v>0.75751391177030025</v>
      </c>
    </row>
    <row r="26" spans="1:2" ht="15" x14ac:dyDescent="0.35">
      <c r="A26" s="23" t="s">
        <v>717</v>
      </c>
      <c r="B26" s="24">
        <v>0.8046201160438704</v>
      </c>
    </row>
    <row r="27" spans="1:2" ht="15" x14ac:dyDescent="0.35">
      <c r="A27" s="25" t="s">
        <v>718</v>
      </c>
      <c r="B27" s="26">
        <v>0.84669763847794677</v>
      </c>
    </row>
    <row r="28" spans="1:2" ht="15" x14ac:dyDescent="0.35">
      <c r="A28" s="23" t="s">
        <v>719</v>
      </c>
      <c r="B28" s="24">
        <v>0.76801574172290976</v>
      </c>
    </row>
    <row r="29" spans="1:2" ht="15" x14ac:dyDescent="0.35">
      <c r="A29" s="25" t="s">
        <v>720</v>
      </c>
      <c r="B29" s="26">
        <v>0.75505286840741848</v>
      </c>
    </row>
    <row r="30" spans="1:2" ht="15" x14ac:dyDescent="0.35">
      <c r="A30" s="23" t="s">
        <v>721</v>
      </c>
      <c r="B30" s="24">
        <v>0.83519888877507109</v>
      </c>
    </row>
    <row r="31" spans="1:2" ht="15" x14ac:dyDescent="0.35">
      <c r="A31" s="25" t="s">
        <v>722</v>
      </c>
      <c r="B31" s="26">
        <v>0.7958099590146851</v>
      </c>
    </row>
    <row r="32" spans="1:2" ht="15" x14ac:dyDescent="0.35">
      <c r="A32" s="23" t="s">
        <v>723</v>
      </c>
      <c r="B32" s="24">
        <v>0.78429332850405553</v>
      </c>
    </row>
    <row r="33" spans="1:2" ht="15" x14ac:dyDescent="0.35">
      <c r="A33" s="25" t="s">
        <v>724</v>
      </c>
      <c r="B33" s="26">
        <v>0.84568354255667433</v>
      </c>
    </row>
    <row r="34" spans="1:2" ht="15" x14ac:dyDescent="0.35">
      <c r="A34" s="23" t="s">
        <v>725</v>
      </c>
      <c r="B34" s="24">
        <v>0.80281893330487419</v>
      </c>
    </row>
    <row r="35" spans="1:2" ht="15" x14ac:dyDescent="0.35">
      <c r="A35" s="25" t="s">
        <v>726</v>
      </c>
      <c r="B35" s="26">
        <v>0.77703103665017792</v>
      </c>
    </row>
    <row r="36" spans="1:2" ht="15" x14ac:dyDescent="0.35">
      <c r="A36" s="23" t="s">
        <v>727</v>
      </c>
      <c r="B36" s="24">
        <v>0.87555738842574138</v>
      </c>
    </row>
    <row r="37" spans="1:2" ht="15" x14ac:dyDescent="0.35">
      <c r="A37" s="25" t="s">
        <v>728</v>
      </c>
      <c r="B37" s="26">
        <v>0.6962954489509825</v>
      </c>
    </row>
    <row r="38" spans="1:2" ht="15" x14ac:dyDescent="0.35">
      <c r="A38" s="23" t="s">
        <v>729</v>
      </c>
      <c r="B38" s="24">
        <v>0.81017832024534819</v>
      </c>
    </row>
    <row r="39" spans="1:2" ht="15" x14ac:dyDescent="0.35">
      <c r="A39" s="25" t="s">
        <v>730</v>
      </c>
      <c r="B39" s="26">
        <v>0.74449506173381585</v>
      </c>
    </row>
    <row r="40" spans="1:2" ht="15" x14ac:dyDescent="0.35">
      <c r="A40" s="23" t="s">
        <v>731</v>
      </c>
      <c r="B40" s="24">
        <v>0.81765830196391609</v>
      </c>
    </row>
    <row r="41" spans="1:2" ht="15" x14ac:dyDescent="0.35">
      <c r="A41" s="25" t="s">
        <v>732</v>
      </c>
      <c r="B41" s="26">
        <v>0.78038628294786194</v>
      </c>
    </row>
    <row r="42" spans="1:2" ht="15" x14ac:dyDescent="0.35">
      <c r="A42" s="23" t="s">
        <v>733</v>
      </c>
      <c r="B42" s="24">
        <v>0.72286592250445592</v>
      </c>
    </row>
    <row r="43" spans="1:2" ht="15" x14ac:dyDescent="0.35">
      <c r="A43" s="25" t="s">
        <v>734</v>
      </c>
      <c r="B43" s="26">
        <v>0.78930370361222102</v>
      </c>
    </row>
    <row r="44" spans="1:2" ht="15" x14ac:dyDescent="0.35">
      <c r="A44" s="23" t="s">
        <v>735</v>
      </c>
      <c r="B44" s="24">
        <v>0.8515617995240562</v>
      </c>
    </row>
    <row r="45" spans="1:2" ht="15" x14ac:dyDescent="0.35">
      <c r="A45" s="25" t="s">
        <v>736</v>
      </c>
      <c r="B45" s="26">
        <v>0.79062896781238889</v>
      </c>
    </row>
    <row r="46" spans="1:2" ht="15" x14ac:dyDescent="0.35">
      <c r="A46" s="23" t="s">
        <v>737</v>
      </c>
      <c r="B46" s="24">
        <v>0.71376721684863609</v>
      </c>
    </row>
    <row r="47" spans="1:2" ht="15" x14ac:dyDescent="0.35">
      <c r="A47" s="25" t="s">
        <v>738</v>
      </c>
      <c r="B47" s="26">
        <v>0.84602172953199728</v>
      </c>
    </row>
    <row r="48" spans="1:2" ht="15" x14ac:dyDescent="0.35">
      <c r="A48" s="23" t="s">
        <v>739</v>
      </c>
      <c r="B48" s="24">
        <v>0.80647886648847777</v>
      </c>
    </row>
    <row r="49" spans="1:2" ht="15" x14ac:dyDescent="0.35">
      <c r="A49" s="25" t="s">
        <v>740</v>
      </c>
      <c r="B49" s="26">
        <v>0.7802635974563733</v>
      </c>
    </row>
    <row r="50" spans="1:2" ht="15" x14ac:dyDescent="0.35">
      <c r="A50" s="23" t="s">
        <v>741</v>
      </c>
      <c r="B50" s="24">
        <v>0.84103533547963338</v>
      </c>
    </row>
    <row r="51" spans="1:2" ht="15" x14ac:dyDescent="0.35">
      <c r="A51" s="25" t="s">
        <v>742</v>
      </c>
      <c r="B51" s="26">
        <v>0.79383722983941407</v>
      </c>
    </row>
    <row r="52" spans="1:2" ht="15" x14ac:dyDescent="0.35">
      <c r="A52" s="23" t="s">
        <v>743</v>
      </c>
      <c r="B52" s="24">
        <v>0.82365408742626323</v>
      </c>
    </row>
    <row r="53" spans="1:2" ht="15" x14ac:dyDescent="0.35">
      <c r="A53" s="25" t="s">
        <v>744</v>
      </c>
      <c r="B53" s="26">
        <v>0.77383091299537521</v>
      </c>
    </row>
    <row r="54" spans="1:2" ht="15" x14ac:dyDescent="0.35">
      <c r="A54" s="23" t="s">
        <v>745</v>
      </c>
      <c r="B54" s="24">
        <v>0.70446110832208486</v>
      </c>
    </row>
    <row r="55" spans="1:2" ht="15" x14ac:dyDescent="0.35">
      <c r="A55" s="25" t="s">
        <v>746</v>
      </c>
      <c r="B55" s="26">
        <v>0.79971978192274173</v>
      </c>
    </row>
    <row r="56" spans="1:2" ht="15" x14ac:dyDescent="0.35">
      <c r="A56" s="23" t="s">
        <v>747</v>
      </c>
      <c r="B56" s="24">
        <v>0.79888113515108028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3834-D607-43B9-9FFA-57F3EAB9523E}">
  <dimension ref="A1:B56"/>
  <sheetViews>
    <sheetView topLeftCell="A19" workbookViewId="0">
      <selection activeCell="A41" sqref="A41:XFD41"/>
    </sheetView>
  </sheetViews>
  <sheetFormatPr defaultRowHeight="14.4" x14ac:dyDescent="0.3"/>
  <cols>
    <col min="1" max="1" width="10" customWidth="1"/>
    <col min="2" max="2" width="20" customWidth="1"/>
  </cols>
  <sheetData>
    <row r="1" spans="1:2" x14ac:dyDescent="0.3">
      <c r="A1" s="27" t="s">
        <v>754</v>
      </c>
      <c r="B1" s="27" t="s">
        <v>757</v>
      </c>
    </row>
    <row r="2" spans="1:2" x14ac:dyDescent="0.3">
      <c r="A2" t="s">
        <v>693</v>
      </c>
      <c r="B2" s="28">
        <v>0.50019547153438459</v>
      </c>
    </row>
    <row r="3" spans="1:2" x14ac:dyDescent="0.3">
      <c r="A3" t="s">
        <v>694</v>
      </c>
      <c r="B3" s="28">
        <v>0.58468119434002119</v>
      </c>
    </row>
    <row r="4" spans="1:2" x14ac:dyDescent="0.3">
      <c r="A4" t="s">
        <v>695</v>
      </c>
      <c r="B4" s="28">
        <v>0.58366613450817628</v>
      </c>
    </row>
    <row r="5" spans="1:2" x14ac:dyDescent="0.3">
      <c r="A5" t="s">
        <v>696</v>
      </c>
      <c r="B5" s="28">
        <v>0.56314176526114912</v>
      </c>
    </row>
    <row r="6" spans="1:2" x14ac:dyDescent="0.3">
      <c r="A6" t="s">
        <v>697</v>
      </c>
      <c r="B6" s="28">
        <v>0.66780352879638227</v>
      </c>
    </row>
    <row r="7" spans="1:2" x14ac:dyDescent="0.3">
      <c r="A7" s="29" t="s">
        <v>698</v>
      </c>
      <c r="B7" s="30">
        <v>0.63405668726399733</v>
      </c>
    </row>
    <row r="8" spans="1:2" x14ac:dyDescent="0.3">
      <c r="A8" s="29" t="s">
        <v>699</v>
      </c>
      <c r="B8" s="30">
        <v>0.59983376956567658</v>
      </c>
    </row>
    <row r="9" spans="1:2" x14ac:dyDescent="0.3">
      <c r="A9" s="29" t="s">
        <v>700</v>
      </c>
      <c r="B9" s="30">
        <v>0.5109035441051677</v>
      </c>
    </row>
    <row r="10" spans="1:2" x14ac:dyDescent="0.3">
      <c r="A10" t="s">
        <v>701</v>
      </c>
      <c r="B10" s="28">
        <v>0.65787421217899089</v>
      </c>
    </row>
    <row r="11" spans="1:2" x14ac:dyDescent="0.3">
      <c r="A11" s="29" t="s">
        <v>702</v>
      </c>
      <c r="B11" s="30">
        <v>0.54530584764162193</v>
      </c>
    </row>
    <row r="12" spans="1:2" x14ac:dyDescent="0.3">
      <c r="A12" s="29" t="s">
        <v>703</v>
      </c>
      <c r="B12" s="30">
        <v>0.53925550513376941</v>
      </c>
    </row>
    <row r="13" spans="1:2" x14ac:dyDescent="0.3">
      <c r="A13" t="s">
        <v>704</v>
      </c>
      <c r="B13" s="28">
        <v>0.51138194157288075</v>
      </c>
    </row>
    <row r="14" spans="1:2" x14ac:dyDescent="0.3">
      <c r="A14" t="s">
        <v>705</v>
      </c>
      <c r="B14" s="28">
        <v>0.49292615703098758</v>
      </c>
    </row>
    <row r="15" spans="1:2" x14ac:dyDescent="0.3">
      <c r="A15" s="29" t="s">
        <v>706</v>
      </c>
      <c r="B15" s="30">
        <v>0.47957857685545791</v>
      </c>
    </row>
    <row r="16" spans="1:2" x14ac:dyDescent="0.3">
      <c r="A16" t="s">
        <v>707</v>
      </c>
      <c r="B16" s="28">
        <v>0.60620219270343656</v>
      </c>
    </row>
    <row r="17" spans="1:2" x14ac:dyDescent="0.3">
      <c r="A17" t="s">
        <v>708</v>
      </c>
      <c r="B17" s="28">
        <v>0.52611183252253924</v>
      </c>
    </row>
    <row r="18" spans="1:2" x14ac:dyDescent="0.3">
      <c r="A18" s="29" t="s">
        <v>709</v>
      </c>
      <c r="B18" s="30">
        <v>0.63766286409586326</v>
      </c>
    </row>
    <row r="19" spans="1:2" x14ac:dyDescent="0.3">
      <c r="A19" s="29" t="s">
        <v>710</v>
      </c>
      <c r="B19" s="30">
        <v>0.43100385193866042</v>
      </c>
    </row>
    <row r="20" spans="1:2" x14ac:dyDescent="0.3">
      <c r="A20" t="s">
        <v>711</v>
      </c>
      <c r="B20" s="28">
        <v>0.65322346727453429</v>
      </c>
    </row>
    <row r="21" spans="1:2" x14ac:dyDescent="0.3">
      <c r="A21" s="29" t="s">
        <v>712</v>
      </c>
      <c r="B21" s="30">
        <v>0.55512290947682597</v>
      </c>
    </row>
    <row r="22" spans="1:2" x14ac:dyDescent="0.3">
      <c r="A22" t="s">
        <v>713</v>
      </c>
      <c r="B22" s="28">
        <v>0.68471158936546417</v>
      </c>
    </row>
    <row r="23" spans="1:2" x14ac:dyDescent="0.3">
      <c r="A23" s="29" t="s">
        <v>714</v>
      </c>
      <c r="B23" s="30">
        <v>0.62687552296682592</v>
      </c>
    </row>
    <row r="24" spans="1:2" x14ac:dyDescent="0.3">
      <c r="A24" t="s">
        <v>715</v>
      </c>
      <c r="B24" s="28">
        <v>0.54491345043709671</v>
      </c>
    </row>
    <row r="25" spans="1:2" x14ac:dyDescent="0.3">
      <c r="A25" s="29" t="s">
        <v>716</v>
      </c>
      <c r="B25" s="30">
        <v>0.47623802330645831</v>
      </c>
    </row>
    <row r="26" spans="1:2" x14ac:dyDescent="0.3">
      <c r="A26" t="s">
        <v>717</v>
      </c>
      <c r="B26" s="28">
        <v>0.68725212359113785</v>
      </c>
    </row>
    <row r="27" spans="1:2" x14ac:dyDescent="0.3">
      <c r="A27" t="s">
        <v>718</v>
      </c>
      <c r="B27" s="28">
        <v>0.38203451962832752</v>
      </c>
    </row>
    <row r="28" spans="1:2" x14ac:dyDescent="0.3">
      <c r="A28" t="s">
        <v>719</v>
      </c>
      <c r="B28" s="28">
        <v>0.62534962632559365</v>
      </c>
    </row>
    <row r="29" spans="1:2" x14ac:dyDescent="0.3">
      <c r="A29" s="29" t="s">
        <v>720</v>
      </c>
      <c r="B29" s="30">
        <v>0.50847300136730378</v>
      </c>
    </row>
    <row r="30" spans="1:2" x14ac:dyDescent="0.3">
      <c r="A30" t="s">
        <v>721</v>
      </c>
      <c r="B30" s="28">
        <v>0.4670531494055507</v>
      </c>
    </row>
    <row r="31" spans="1:2" x14ac:dyDescent="0.3">
      <c r="A31" s="29" t="s">
        <v>722</v>
      </c>
      <c r="B31" s="30">
        <v>0.50520079812778618</v>
      </c>
    </row>
    <row r="32" spans="1:2" x14ac:dyDescent="0.3">
      <c r="A32" s="29" t="s">
        <v>723</v>
      </c>
      <c r="B32" s="30">
        <v>0.50114912163662129</v>
      </c>
    </row>
    <row r="33" spans="1:2" x14ac:dyDescent="0.3">
      <c r="A33" s="29" t="s">
        <v>724</v>
      </c>
      <c r="B33" s="30">
        <v>0.69007440566087974</v>
      </c>
    </row>
    <row r="34" spans="1:2" x14ac:dyDescent="0.3">
      <c r="A34" t="s">
        <v>725</v>
      </c>
      <c r="B34" s="28">
        <v>0.55406297013184991</v>
      </c>
    </row>
    <row r="35" spans="1:2" x14ac:dyDescent="0.3">
      <c r="A35" s="29" t="s">
        <v>726</v>
      </c>
      <c r="B35" s="30">
        <v>0.46752978431709652</v>
      </c>
    </row>
    <row r="36" spans="1:2" x14ac:dyDescent="0.3">
      <c r="A36" t="s">
        <v>727</v>
      </c>
      <c r="B36" s="28">
        <v>0.53809436769992769</v>
      </c>
    </row>
    <row r="37" spans="1:2" x14ac:dyDescent="0.3">
      <c r="A37" s="29" t="s">
        <v>728</v>
      </c>
      <c r="B37" s="30">
        <v>0.6546178702850175</v>
      </c>
    </row>
    <row r="38" spans="1:2" x14ac:dyDescent="0.3">
      <c r="A38" t="s">
        <v>729</v>
      </c>
      <c r="B38" s="28">
        <v>0.63725818259722888</v>
      </c>
    </row>
    <row r="39" spans="1:2" x14ac:dyDescent="0.3">
      <c r="A39" t="s">
        <v>730</v>
      </c>
      <c r="B39" s="28">
        <v>0.54377392848795358</v>
      </c>
    </row>
    <row r="40" spans="1:2" x14ac:dyDescent="0.3">
      <c r="A40" s="29" t="s">
        <v>731</v>
      </c>
      <c r="B40" s="30">
        <v>0.4632812322047174</v>
      </c>
    </row>
    <row r="41" spans="1:2" x14ac:dyDescent="0.3">
      <c r="A41" s="29" t="s">
        <v>732</v>
      </c>
      <c r="B41" s="30">
        <v>0.58324281357698182</v>
      </c>
    </row>
    <row r="42" spans="1:2" x14ac:dyDescent="0.3">
      <c r="A42" s="29" t="s">
        <v>733</v>
      </c>
      <c r="B42" s="30">
        <v>0.46441529798097042</v>
      </c>
    </row>
    <row r="43" spans="1:2" x14ac:dyDescent="0.3">
      <c r="A43" s="29" t="s">
        <v>734</v>
      </c>
      <c r="B43" s="30">
        <v>0.58174461262390642</v>
      </c>
    </row>
    <row r="44" spans="1:2" x14ac:dyDescent="0.3">
      <c r="A44" s="29" t="s">
        <v>735</v>
      </c>
      <c r="B44" s="30">
        <v>0.51978623322869633</v>
      </c>
    </row>
    <row r="45" spans="1:2" x14ac:dyDescent="0.3">
      <c r="A45" t="s">
        <v>736</v>
      </c>
      <c r="B45" s="28">
        <v>0.61220510718375776</v>
      </c>
    </row>
    <row r="46" spans="1:2" x14ac:dyDescent="0.3">
      <c r="A46" t="s">
        <v>737</v>
      </c>
      <c r="B46" s="28">
        <v>0.5548816509198945</v>
      </c>
    </row>
    <row r="47" spans="1:2" x14ac:dyDescent="0.3">
      <c r="A47" t="s">
        <v>738</v>
      </c>
      <c r="B47" s="28">
        <v>0.56619718818486009</v>
      </c>
    </row>
    <row r="48" spans="1:2" x14ac:dyDescent="0.3">
      <c r="A48" t="s">
        <v>739</v>
      </c>
      <c r="B48" s="28">
        <v>0.57270279873348062</v>
      </c>
    </row>
    <row r="49" spans="1:2" x14ac:dyDescent="0.3">
      <c r="A49" s="29" t="s">
        <v>740</v>
      </c>
      <c r="B49" s="30">
        <v>0.62992491166592479</v>
      </c>
    </row>
    <row r="50" spans="1:2" x14ac:dyDescent="0.3">
      <c r="A50" s="29" t="s">
        <v>741</v>
      </c>
      <c r="B50" s="30">
        <v>0.6593854294962973</v>
      </c>
    </row>
    <row r="51" spans="1:2" x14ac:dyDescent="0.3">
      <c r="A51" s="29" t="s">
        <v>742</v>
      </c>
      <c r="B51" s="30">
        <v>0.64403422784910058</v>
      </c>
    </row>
    <row r="52" spans="1:2" x14ac:dyDescent="0.3">
      <c r="A52" t="s">
        <v>743</v>
      </c>
      <c r="B52" s="28">
        <v>0.57757104154932215</v>
      </c>
    </row>
    <row r="53" spans="1:2" x14ac:dyDescent="0.3">
      <c r="A53" s="29" t="s">
        <v>744</v>
      </c>
      <c r="B53" s="30">
        <v>0.52292673105180143</v>
      </c>
    </row>
    <row r="54" spans="1:2" x14ac:dyDescent="0.3">
      <c r="A54" s="29" t="s">
        <v>745</v>
      </c>
      <c r="B54" s="30">
        <v>0.65076124912431266</v>
      </c>
    </row>
    <row r="55" spans="1:2" x14ac:dyDescent="0.3">
      <c r="A55" t="s">
        <v>746</v>
      </c>
      <c r="B55" s="28">
        <v>0.4843472551281881</v>
      </c>
    </row>
    <row r="56" spans="1:2" x14ac:dyDescent="0.3">
      <c r="A56" s="29" t="s">
        <v>747</v>
      </c>
      <c r="B56" s="30">
        <v>0.52322598659938402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D48BD-83EF-43B0-8DC2-CD438A9CDBAB}">
  <dimension ref="A1:B56"/>
  <sheetViews>
    <sheetView topLeftCell="A16" workbookViewId="0">
      <selection activeCell="B1" sqref="B1:B1048576"/>
    </sheetView>
  </sheetViews>
  <sheetFormatPr defaultRowHeight="14.4" x14ac:dyDescent="0.3"/>
  <sheetData>
    <row r="1" spans="1:2" x14ac:dyDescent="0.3">
      <c r="A1" s="20" t="s">
        <v>692</v>
      </c>
      <c r="B1" s="20" t="s">
        <v>755</v>
      </c>
    </row>
    <row r="2" spans="1:2" x14ac:dyDescent="0.3">
      <c r="A2" t="s">
        <v>693</v>
      </c>
      <c r="B2">
        <v>148.7810635147554</v>
      </c>
    </row>
    <row r="3" spans="1:2" x14ac:dyDescent="0.3">
      <c r="A3" t="s">
        <v>694</v>
      </c>
      <c r="B3">
        <v>154.97493330803709</v>
      </c>
    </row>
    <row r="4" spans="1:2" x14ac:dyDescent="0.3">
      <c r="A4" t="s">
        <v>695</v>
      </c>
      <c r="B4">
        <v>158.0596445731949</v>
      </c>
    </row>
    <row r="5" spans="1:2" x14ac:dyDescent="0.3">
      <c r="A5" t="s">
        <v>696</v>
      </c>
      <c r="B5">
        <v>171.47331994699601</v>
      </c>
    </row>
    <row r="6" spans="1:2" x14ac:dyDescent="0.3">
      <c r="A6" t="s">
        <v>697</v>
      </c>
      <c r="B6">
        <v>137.032216530515</v>
      </c>
    </row>
    <row r="7" spans="1:2" x14ac:dyDescent="0.3">
      <c r="A7" t="s">
        <v>698</v>
      </c>
      <c r="B7">
        <v>149.96064668535081</v>
      </c>
    </row>
    <row r="8" spans="1:2" x14ac:dyDescent="0.3">
      <c r="A8" t="s">
        <v>699</v>
      </c>
      <c r="B8">
        <v>162.0457257766507</v>
      </c>
    </row>
    <row r="9" spans="1:2" x14ac:dyDescent="0.3">
      <c r="A9" t="s">
        <v>700</v>
      </c>
      <c r="B9">
        <v>386.30961677775491</v>
      </c>
    </row>
    <row r="10" spans="1:2" x14ac:dyDescent="0.3">
      <c r="A10" t="s">
        <v>701</v>
      </c>
      <c r="B10">
        <v>362.02819328959481</v>
      </c>
    </row>
    <row r="11" spans="1:2" x14ac:dyDescent="0.3">
      <c r="A11" t="s">
        <v>702</v>
      </c>
      <c r="B11">
        <v>206.1047582131163</v>
      </c>
    </row>
    <row r="12" spans="1:2" x14ac:dyDescent="0.3">
      <c r="A12" t="s">
        <v>703</v>
      </c>
      <c r="B12">
        <v>198.1736963942484</v>
      </c>
    </row>
    <row r="13" spans="1:2" x14ac:dyDescent="0.3">
      <c r="A13" t="s">
        <v>704</v>
      </c>
      <c r="B13">
        <v>178.41672062030591</v>
      </c>
    </row>
    <row r="14" spans="1:2" x14ac:dyDescent="0.3">
      <c r="A14" t="s">
        <v>705</v>
      </c>
      <c r="B14">
        <v>316.73465837029039</v>
      </c>
    </row>
    <row r="15" spans="1:2" x14ac:dyDescent="0.3">
      <c r="A15" t="s">
        <v>706</v>
      </c>
      <c r="B15">
        <v>196.69299174319269</v>
      </c>
    </row>
    <row r="16" spans="1:2" x14ac:dyDescent="0.3">
      <c r="A16" t="s">
        <v>707</v>
      </c>
      <c r="B16">
        <v>110.486311994872</v>
      </c>
    </row>
    <row r="17" spans="1:2" x14ac:dyDescent="0.3">
      <c r="A17" t="s">
        <v>708</v>
      </c>
      <c r="B17">
        <v>131.17080292054621</v>
      </c>
    </row>
    <row r="18" spans="1:2" x14ac:dyDescent="0.3">
      <c r="A18" t="s">
        <v>709</v>
      </c>
      <c r="B18">
        <v>248.65921143796169</v>
      </c>
    </row>
    <row r="19" spans="1:2" x14ac:dyDescent="0.3">
      <c r="A19" t="s">
        <v>710</v>
      </c>
      <c r="B19">
        <v>148.4318005215309</v>
      </c>
    </row>
    <row r="20" spans="1:2" x14ac:dyDescent="0.3">
      <c r="A20" t="s">
        <v>711</v>
      </c>
      <c r="B20">
        <v>251.85771763945249</v>
      </c>
    </row>
    <row r="21" spans="1:2" x14ac:dyDescent="0.3">
      <c r="A21" t="s">
        <v>712</v>
      </c>
      <c r="B21">
        <v>132.5495936266951</v>
      </c>
    </row>
    <row r="22" spans="1:2" x14ac:dyDescent="0.3">
      <c r="A22" t="s">
        <v>713</v>
      </c>
      <c r="B22">
        <v>249.94292243785119</v>
      </c>
    </row>
    <row r="23" spans="1:2" x14ac:dyDescent="0.3">
      <c r="A23" t="s">
        <v>714</v>
      </c>
      <c r="B23">
        <v>114.7012808863429</v>
      </c>
    </row>
    <row r="24" spans="1:2" x14ac:dyDescent="0.3">
      <c r="A24" t="s">
        <v>715</v>
      </c>
      <c r="B24">
        <v>132.66394124126589</v>
      </c>
    </row>
    <row r="25" spans="1:2" x14ac:dyDescent="0.3">
      <c r="A25" t="s">
        <v>716</v>
      </c>
      <c r="B25">
        <v>210.77221776497211</v>
      </c>
    </row>
    <row r="26" spans="1:2" x14ac:dyDescent="0.3">
      <c r="A26" t="s">
        <v>717</v>
      </c>
      <c r="B26">
        <v>134.16564345501459</v>
      </c>
    </row>
    <row r="27" spans="1:2" x14ac:dyDescent="0.3">
      <c r="A27" t="s">
        <v>718</v>
      </c>
      <c r="B27">
        <v>119.890984076348</v>
      </c>
    </row>
    <row r="28" spans="1:2" x14ac:dyDescent="0.3">
      <c r="A28" t="s">
        <v>719</v>
      </c>
      <c r="B28">
        <v>118.7132847958371</v>
      </c>
    </row>
    <row r="29" spans="1:2" x14ac:dyDescent="0.3">
      <c r="A29" t="s">
        <v>720</v>
      </c>
      <c r="B29">
        <v>126.6060348720416</v>
      </c>
    </row>
    <row r="30" spans="1:2" x14ac:dyDescent="0.3">
      <c r="A30" t="s">
        <v>721</v>
      </c>
      <c r="B30">
        <v>145.38852252700119</v>
      </c>
    </row>
    <row r="31" spans="1:2" x14ac:dyDescent="0.3">
      <c r="A31" t="s">
        <v>722</v>
      </c>
      <c r="B31">
        <v>127.520652001977</v>
      </c>
    </row>
    <row r="32" spans="1:2" x14ac:dyDescent="0.3">
      <c r="A32" t="s">
        <v>723</v>
      </c>
      <c r="B32">
        <v>215.02321877731359</v>
      </c>
    </row>
    <row r="33" spans="1:2" x14ac:dyDescent="0.3">
      <c r="A33" t="s">
        <v>724</v>
      </c>
      <c r="B33">
        <v>127.9384983684446</v>
      </c>
    </row>
    <row r="34" spans="1:2" x14ac:dyDescent="0.3">
      <c r="A34" t="s">
        <v>725</v>
      </c>
      <c r="B34">
        <v>145.66653500476659</v>
      </c>
    </row>
    <row r="35" spans="1:2" x14ac:dyDescent="0.3">
      <c r="A35" t="s">
        <v>726</v>
      </c>
      <c r="B35">
        <v>108.6209345674674</v>
      </c>
    </row>
    <row r="36" spans="1:2" x14ac:dyDescent="0.3">
      <c r="A36" t="s">
        <v>727</v>
      </c>
      <c r="B36">
        <v>134.37789622629981</v>
      </c>
    </row>
    <row r="37" spans="1:2" x14ac:dyDescent="0.3">
      <c r="A37" t="s">
        <v>728</v>
      </c>
      <c r="B37">
        <v>176.53282907336521</v>
      </c>
    </row>
    <row r="38" spans="1:2" x14ac:dyDescent="0.3">
      <c r="A38" t="s">
        <v>729</v>
      </c>
      <c r="B38">
        <v>122.9515680450631</v>
      </c>
    </row>
    <row r="39" spans="1:2" x14ac:dyDescent="0.3">
      <c r="A39" t="s">
        <v>730</v>
      </c>
      <c r="B39">
        <v>193.73821921138139</v>
      </c>
    </row>
    <row r="40" spans="1:2" x14ac:dyDescent="0.3">
      <c r="A40" t="s">
        <v>731</v>
      </c>
      <c r="B40">
        <v>111.6404683258995</v>
      </c>
    </row>
    <row r="41" spans="1:2" x14ac:dyDescent="0.3">
      <c r="A41" t="s">
        <v>732</v>
      </c>
      <c r="B41">
        <v>110.60093924281951</v>
      </c>
    </row>
    <row r="42" spans="1:2" x14ac:dyDescent="0.3">
      <c r="A42" t="s">
        <v>733</v>
      </c>
      <c r="B42">
        <v>98.020595078359847</v>
      </c>
    </row>
    <row r="43" spans="1:2" x14ac:dyDescent="0.3">
      <c r="A43" t="s">
        <v>734</v>
      </c>
      <c r="B43">
        <v>100.1861492711345</v>
      </c>
    </row>
    <row r="44" spans="1:2" x14ac:dyDescent="0.3">
      <c r="A44" t="s">
        <v>735</v>
      </c>
      <c r="B44">
        <v>139.4155666898572</v>
      </c>
    </row>
    <row r="45" spans="1:2" x14ac:dyDescent="0.3">
      <c r="A45" t="s">
        <v>736</v>
      </c>
      <c r="B45">
        <v>94.485894933884126</v>
      </c>
    </row>
    <row r="46" spans="1:2" x14ac:dyDescent="0.3">
      <c r="A46" t="s">
        <v>737</v>
      </c>
      <c r="B46">
        <v>103.0548550533193</v>
      </c>
    </row>
    <row r="47" spans="1:2" x14ac:dyDescent="0.3">
      <c r="A47" t="s">
        <v>738</v>
      </c>
      <c r="B47">
        <v>118.2117117398374</v>
      </c>
    </row>
    <row r="48" spans="1:2" x14ac:dyDescent="0.3">
      <c r="A48" t="s">
        <v>739</v>
      </c>
    </row>
    <row r="49" spans="1:2" x14ac:dyDescent="0.3">
      <c r="A49" t="s">
        <v>740</v>
      </c>
      <c r="B49">
        <v>177.41681570758769</v>
      </c>
    </row>
    <row r="50" spans="1:2" x14ac:dyDescent="0.3">
      <c r="A50" t="s">
        <v>741</v>
      </c>
      <c r="B50">
        <v>116.04844292865511</v>
      </c>
    </row>
    <row r="51" spans="1:2" x14ac:dyDescent="0.3">
      <c r="A51" t="s">
        <v>742</v>
      </c>
      <c r="B51">
        <v>144.59065330247549</v>
      </c>
    </row>
    <row r="52" spans="1:2" x14ac:dyDescent="0.3">
      <c r="A52" t="s">
        <v>743</v>
      </c>
      <c r="B52">
        <v>96.409353900903042</v>
      </c>
    </row>
    <row r="53" spans="1:2" x14ac:dyDescent="0.3">
      <c r="A53" t="s">
        <v>744</v>
      </c>
      <c r="B53">
        <v>70.864246172227453</v>
      </c>
    </row>
    <row r="54" spans="1:2" x14ac:dyDescent="0.3">
      <c r="A54" t="s">
        <v>745</v>
      </c>
      <c r="B54">
        <v>127.9236729540861</v>
      </c>
    </row>
    <row r="55" spans="1:2" x14ac:dyDescent="0.3">
      <c r="A55" t="s">
        <v>746</v>
      </c>
      <c r="B55">
        <v>186.40310330590901</v>
      </c>
    </row>
    <row r="56" spans="1:2" x14ac:dyDescent="0.3">
      <c r="A56" t="s">
        <v>747</v>
      </c>
      <c r="B56">
        <v>221.7775761331668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Planilha1</vt:lpstr>
      <vt:lpstr>comp</vt:lpstr>
      <vt:lpstr>ndvi_vegnativa</vt:lpstr>
      <vt:lpstr>ndvi_cana</vt:lpstr>
      <vt:lpstr>fragmentos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ÉRICA GOMES</dc:creator>
  <cp:lastModifiedBy>Sofia Marcela</cp:lastModifiedBy>
  <dcterms:created xsi:type="dcterms:W3CDTF">2025-12-01T13:18:46Z</dcterms:created>
  <dcterms:modified xsi:type="dcterms:W3CDTF">2026-09-23T15:18:49Z</dcterms:modified>
</cp:coreProperties>
</file>